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alg365-my.sharepoint.com/personal/a71548_ualg_pt/Documents/Biotec 2/GProtein/Latimeria chalumnae/"/>
    </mc:Choice>
  </mc:AlternateContent>
  <xr:revisionPtr revIDLastSave="9" documentId="11_441844654A4531457F0BFC090DEF6325B032A28E" xr6:coauthVersionLast="47" xr6:coauthVersionMax="47" xr10:uidLastSave="{6C936525-F920-4E9C-A4B6-3B99BF6E840F}"/>
  <bookViews>
    <workbookView xWindow="-108" yWindow="-108" windowWidth="30936" windowHeight="16776" activeTab="5" xr2:uid="{00000000-000D-0000-FFFF-FFFF00000000}"/>
  </bookViews>
  <sheets>
    <sheet name="Start" sheetId="1" r:id="rId1"/>
    <sheet name="CALCR" sheetId="2" r:id="rId2"/>
    <sheet name="CRHR" sheetId="3" r:id="rId3"/>
    <sheet name="PTHR" sheetId="4" r:id="rId4"/>
    <sheet name="GCGR" sheetId="5" r:id="rId5"/>
    <sheet name="VIP SC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1" i="1" l="1"/>
  <c r="P101" i="1" a="1"/>
  <c r="P101" i="1" s="1"/>
  <c r="L1" i="1" a="1"/>
  <c r="L1" i="1" s="1"/>
  <c r="G1" i="1" a="1"/>
  <c r="G1" i="1" s="1"/>
</calcChain>
</file>

<file path=xl/sharedStrings.xml><?xml version="1.0" encoding="utf-8"?>
<sst xmlns="http://schemas.openxmlformats.org/spreadsheetml/2006/main" count="873" uniqueCount="257">
  <si>
    <t>#</t>
  </si>
  <si>
    <t>sequen</t>
  </si>
  <si>
    <t>ce ---</t>
  </si>
  <si>
    <t>---</t>
  </si>
  <si>
    <t>----</t>
  </si>
  <si>
    <t>is domain</t>
  </si>
  <si>
    <t>-------</t>
  </si>
  <si>
    <t>------</t>
  </si>
  <si>
    <t>hmm</t>
  </si>
  <si>
    <t>coord</t>
  </si>
  <si>
    <t>ali</t>
  </si>
  <si>
    <t>env</t>
  </si>
  <si>
    <t># target name</t>
  </si>
  <si>
    <t>accession</t>
  </si>
  <si>
    <t>tlen</t>
  </si>
  <si>
    <t>query name</t>
  </si>
  <si>
    <t>qlen</t>
  </si>
  <si>
    <t>E-value</t>
  </si>
  <si>
    <t>score</t>
  </si>
  <si>
    <t>bias</t>
  </si>
  <si>
    <t>of</t>
  </si>
  <si>
    <t>c-Evalue</t>
  </si>
  <si>
    <t>i-Evalue</t>
  </si>
  <si>
    <t>from</t>
  </si>
  <si>
    <t>to</t>
  </si>
  <si>
    <t>acc</t>
  </si>
  <si>
    <t>description of target</t>
  </si>
  <si>
    <t>#-----------------</t>
  </si>
  <si>
    <t>-- ----------</t>
  </si>
  <si>
    <t>-----</t>
  </si>
  <si>
    <t>--------------------</t>
  </si>
  <si>
    <t>----------</t>
  </si>
  <si>
    <t>---------</t>
  </si>
  <si>
    <t>---------------------</t>
  </si>
  <si>
    <t>XP_005991637.1</t>
  </si>
  <si>
    <t>-</t>
  </si>
  <si>
    <t>FAMILYB1</t>
  </si>
  <si>
    <t>glucagon receptor isoform X1 [Latimeria chalumnae]</t>
  </si>
  <si>
    <t>XP_005991638.1</t>
  </si>
  <si>
    <t>XP_014341375.1</t>
  </si>
  <si>
    <t>XP_064408713.1</t>
  </si>
  <si>
    <t>XP_064408714.1</t>
  </si>
  <si>
    <t>XP_014340032.1</t>
  </si>
  <si>
    <t>glucagon receptor [Latimeria chalumnae]</t>
  </si>
  <si>
    <t>XP_064420087.1</t>
  </si>
  <si>
    <t>parathyroid hormone 2 receptor [Latimeria chalumnae]</t>
  </si>
  <si>
    <t>XP_006010891.1</t>
  </si>
  <si>
    <t>calcitonin gene-related peptide type 1 receptor [Latimeria chalumnae]</t>
  </si>
  <si>
    <t>XP_064419666.1</t>
  </si>
  <si>
    <t>XP_064410865.1</t>
  </si>
  <si>
    <t>XP_064420142.1</t>
  </si>
  <si>
    <t>secretin receptor [Latimeria chalumnae]</t>
  </si>
  <si>
    <t>XP_005994703.1</t>
  </si>
  <si>
    <t>parathyroid hormone/parathyroid hormone-related peptide receptor-like [Latimeria chalumnae]</t>
  </si>
  <si>
    <t>XP_064410333.1</t>
  </si>
  <si>
    <t>vasoactive intestinal polypeptide receptor-like [Latimeria chalumnae]</t>
  </si>
  <si>
    <t>XP_005986341.1</t>
  </si>
  <si>
    <t>XP_064410331.1</t>
  </si>
  <si>
    <t>pituitary adenylate cyclase-activating polypeptide type I receptor [Latimeria chalumnae]</t>
  </si>
  <si>
    <t>XP_064410705.1</t>
  </si>
  <si>
    <t>vasoactive intestinal polypeptide receptor 2 [Latimeria chalumnae]</t>
  </si>
  <si>
    <t>XP_006001610.2</t>
  </si>
  <si>
    <t>glucagon receptor-like [Latimeria chalumnae]</t>
  </si>
  <si>
    <t>XP_064410907.1</t>
  </si>
  <si>
    <t>growth hormone releasing hormone receptor, like [Latimeria chalumnae]</t>
  </si>
  <si>
    <t>XP_064423755.1</t>
  </si>
  <si>
    <t>glucagon-like peptide 2 receptor [Latimeria chalumnae]</t>
  </si>
  <si>
    <t>XP_014341376.1</t>
  </si>
  <si>
    <t>glucagon receptor isoform X2 [Latimeria chalumnae]</t>
  </si>
  <si>
    <t>XP_006008082.1</t>
  </si>
  <si>
    <t>corticotropin-releasing factor receptor 2-like [Latimeria chalumnae]</t>
  </si>
  <si>
    <t>XP_005994697.1</t>
  </si>
  <si>
    <t>corticotropin-releasing factor receptor 1 [Latimeria chalumnae]</t>
  </si>
  <si>
    <t>XP_014341377.1</t>
  </si>
  <si>
    <t>glucagon receptor isoform X3 [Latimeria chalumnae]</t>
  </si>
  <si>
    <t>XP_006002195.2</t>
  </si>
  <si>
    <t>parathyroid hormone/parathyroid hormone-related peptide receptor [Latimeria chalumnae]</t>
  </si>
  <si>
    <t>XP_064410332.1</t>
  </si>
  <si>
    <t>XP_014344599.2</t>
  </si>
  <si>
    <t>adhesion G protein-coupled receptor L3 [Latimeria chalumnae]</t>
  </si>
  <si>
    <t>XP_005987240.1</t>
  </si>
  <si>
    <t>adhesion G-protein coupled receptor D1 [Latimeria chalumnae]</t>
  </si>
  <si>
    <t>XP_064420194.1</t>
  </si>
  <si>
    <t>adhesion G-protein coupled receptor D2 [Latimeria chalumnae]</t>
  </si>
  <si>
    <t>XP_064416930.1</t>
  </si>
  <si>
    <t>adhesion G protein-coupled receptor E1 isoform X2 [Latimeria chalumnae]</t>
  </si>
  <si>
    <t>XP_064416929.1</t>
  </si>
  <si>
    <t>adhesion G protein-coupled receptor E5 isoform X1 [Latimeria chalumnae]</t>
  </si>
  <si>
    <t>XP_014340028.1</t>
  </si>
  <si>
    <t>XP_064422285.1</t>
  </si>
  <si>
    <t>cadherin EGF LAG seven-pass G-type receptor 3 [Latimeria chalumnae]</t>
  </si>
  <si>
    <t>XP_014348444.1</t>
  </si>
  <si>
    <t>adhesion G protein-coupled receptor L2 isoform X4 [Latimeria chalumnae]</t>
  </si>
  <si>
    <t>XP_006003473.1</t>
  </si>
  <si>
    <t>adhesion G protein-coupled receptor L2 isoform X2 [Latimeria chalumnae]</t>
  </si>
  <si>
    <t>XP_064416297.1</t>
  </si>
  <si>
    <t>adhesion G protein-coupled receptor L2 isoform X3 [Latimeria chalumnae]</t>
  </si>
  <si>
    <t>XP_064416298.1</t>
  </si>
  <si>
    <t>adhesion G protein-coupled receptor L2 isoform X5 [Latimeria chalumnae]</t>
  </si>
  <si>
    <t>XP_064416300.1</t>
  </si>
  <si>
    <t>adhesion G protein-coupled receptor L2 isoform X7 [Latimeria chalumnae]</t>
  </si>
  <si>
    <t>XP_064416299.1</t>
  </si>
  <si>
    <t>adhesion G protein-coupled receptor L2 isoform X6 [Latimeria chalumnae]</t>
  </si>
  <si>
    <t>XP_064416301.1</t>
  </si>
  <si>
    <t>adhesion G protein-coupled receptor L2 isoform X8 [Latimeria chalumnae]</t>
  </si>
  <si>
    <t>XP_014348441.1</t>
  </si>
  <si>
    <t>adhesion G protein-coupled receptor L2 isoform X1 [Latimeria chalumnae]</t>
  </si>
  <si>
    <t>XP_064416295.1</t>
  </si>
  <si>
    <t>XP_064417558.1</t>
  </si>
  <si>
    <t>cadherin EGF LAG seven-pass G-type receptor 1 [Latimeria chalumnae]</t>
  </si>
  <si>
    <t>XP_064416368.1</t>
  </si>
  <si>
    <t>adhesion G protein-coupled receptor L1 [Latimeria chalumnae]</t>
  </si>
  <si>
    <t>XP_064416366.1</t>
  </si>
  <si>
    <t>adhesion G protein-coupled receptor E1-like [Latimeria chalumnae]</t>
  </si>
  <si>
    <t>XP_064416186.1</t>
  </si>
  <si>
    <t>adhesion G protein-coupled receptor L4 [Latimeria chalumnae]</t>
  </si>
  <si>
    <t>XP_064416367.1</t>
  </si>
  <si>
    <t>adhesion G protein-coupled receptor E2-like [Latimeria chalumnae]</t>
  </si>
  <si>
    <t>XP_005998814.2</t>
  </si>
  <si>
    <t>adhesion G-protein coupled receptor G2 [Latimeria chalumnae]</t>
  </si>
  <si>
    <t>XP_064425190.1</t>
  </si>
  <si>
    <t>cadherin EGF LAG seven-pass G-type receptor 2 [Latimeria chalumnae]</t>
  </si>
  <si>
    <t>XP_006011542.2</t>
  </si>
  <si>
    <t>adhesion G protein-coupled receptor B1 [Latimeria chalumnae]</t>
  </si>
  <si>
    <t>XP_064411499.1</t>
  </si>
  <si>
    <t>adhesion G-protein coupled receptor F3 [Latimeria chalumnae]</t>
  </si>
  <si>
    <t>XP_064412094.1</t>
  </si>
  <si>
    <t>adhesion G-protein coupled receptor G6 isoform X2 [Latimeria chalumnae]</t>
  </si>
  <si>
    <t>XP_064412093.1</t>
  </si>
  <si>
    <t>adhesion G-protein coupled receptor G6 isoform X1 [Latimeria chalumnae]</t>
  </si>
  <si>
    <t>XP_064412553.1</t>
  </si>
  <si>
    <t>adhesion G protein-coupled receptor B3 [Latimeria chalumnae]</t>
  </si>
  <si>
    <t>XP_064416362.1</t>
  </si>
  <si>
    <t>adhesion G protein-coupled receptor E4-like [Latimeria chalumnae]</t>
  </si>
  <si>
    <t>XP_064408157.1</t>
  </si>
  <si>
    <t>adhesion G protein-coupled receptor B2 [Latimeria chalumnae]</t>
  </si>
  <si>
    <t>XP_064416931.1</t>
  </si>
  <si>
    <t>adhesion G protein-coupled receptor E2 isoform X3 [Latimeria chalumnae]</t>
  </si>
  <si>
    <t>XP_064411316.1</t>
  </si>
  <si>
    <t>adhesion G protein-coupled receptor F5-like [Latimeria chalumnae]</t>
  </si>
  <si>
    <t>XP_064411314.1</t>
  </si>
  <si>
    <t>adhesion G-protein coupled receptor F3-like [Latimeria chalumnae]</t>
  </si>
  <si>
    <t>XP_064424367.1</t>
  </si>
  <si>
    <t>adhesion G-protein coupled receptor D1-like [Latimeria chalumnae]</t>
  </si>
  <si>
    <t>XP_064412945.1</t>
  </si>
  <si>
    <t>adhesion G-protein coupled receptor G7 [Latimeria chalumnae]</t>
  </si>
  <si>
    <t>XP_005986036.1</t>
  </si>
  <si>
    <t>G-protein coupled receptor 157 isoform X1 [Latimeria chalumnae]</t>
  </si>
  <si>
    <t>XP_005986037.1</t>
  </si>
  <si>
    <t>G-protein coupled receptor 157 isoform X2 [Latimeria chalumnae]</t>
  </si>
  <si>
    <t>XP_005990439.2</t>
  </si>
  <si>
    <t>adhesion G-protein coupled receptor G6 [Latimeria chalumnae]</t>
  </si>
  <si>
    <t>XP_064414847.1</t>
  </si>
  <si>
    <t>adhesion G-protein coupled receptor G5-like [Latimeria chalumnae]</t>
  </si>
  <si>
    <t>XP_064413398.1</t>
  </si>
  <si>
    <t>si:dkey-100n23.5 isoform X4 [Latimeria chalumnae]</t>
  </si>
  <si>
    <t>XP_064413401.1</t>
  </si>
  <si>
    <t>si:dkey-100n23.5 isoform X7 [Latimeria chalumnae]</t>
  </si>
  <si>
    <t>XP_006000366.1</t>
  </si>
  <si>
    <t>G-protein coupled receptor 143 [Latimeria chalumnae]</t>
  </si>
  <si>
    <t>XP_005993309.1</t>
  </si>
  <si>
    <t>immediate early response gene 5-like protein [Latimeria chalumnae]</t>
  </si>
  <si>
    <t>XP_064412754.1</t>
  </si>
  <si>
    <t>adhesion G-protein coupled receptor V1 [Latimeria chalumnae]</t>
  </si>
  <si>
    <t>XP_064424651.1</t>
  </si>
  <si>
    <t>proteinase-activated receptor 3-like [Latimeria chalumnae]</t>
  </si>
  <si>
    <t>XP_064417080.1</t>
  </si>
  <si>
    <t>protein smoothened [Latimeria chalumnae]</t>
  </si>
  <si>
    <t># Program:</t>
  </si>
  <si>
    <t>hmmsearch</t>
  </si>
  <si>
    <t># Version:</t>
  </si>
  <si>
    <t>3.4 (Aug 202</t>
  </si>
  <si>
    <t>3)</t>
  </si>
  <si>
    <t># Pipeline mode:</t>
  </si>
  <si>
    <t>SEARCH</t>
  </si>
  <si>
    <t># Query file:</t>
  </si>
  <si>
    <t>/data/dnb12/</t>
  </si>
  <si>
    <t>galaxy</t>
  </si>
  <si>
    <t>_db/files/5/3/4/datase</t>
  </si>
  <si>
    <t>t_534f08e7</t>
  </si>
  <si>
    <t>-4463-</t>
  </si>
  <si>
    <t>4c65-8ccb-</t>
  </si>
  <si>
    <t>c2e1c8b</t>
  </si>
  <si>
    <t>0475e.</t>
  </si>
  <si>
    <t>dat</t>
  </si>
  <si>
    <t># Target file:</t>
  </si>
  <si>
    <t>_db/files/e/5/0/datase</t>
  </si>
  <si>
    <t>t_e500ddf1</t>
  </si>
  <si>
    <t>-5ec1-</t>
  </si>
  <si>
    <t>41a1-a11c-</t>
  </si>
  <si>
    <t>b6aaf48</t>
  </si>
  <si>
    <t>e70ff.</t>
  </si>
  <si>
    <t># Option settings:</t>
  </si>
  <si>
    <t>hmmsearch --</t>
  </si>
  <si>
    <t>domtbl</t>
  </si>
  <si>
    <t>out /data/jwd07/main/0</t>
  </si>
  <si>
    <t>95/983/959</t>
  </si>
  <si>
    <t>83165/</t>
  </si>
  <si>
    <t>outputs/da</t>
  </si>
  <si>
    <t>taset_8</t>
  </si>
  <si>
    <t>2-fc</t>
  </si>
  <si>
    <t>51-4</t>
  </si>
  <si>
    <t>10a-9a43-d</t>
  </si>
  <si>
    <t>58d8708194</t>
  </si>
  <si>
    <t>b.dat -</t>
  </si>
  <si>
    <t>E 10.0</t>
  </si>
  <si>
    <t>-F2 0.</t>
  </si>
  <si>
    <t>001 --</t>
  </si>
  <si>
    <t>F3 1e</t>
  </si>
  <si>
    <t>-05 --seed 42 --cpu 0 /data/dnb12/galaxy_db/files/5/3/4/dataset_534f08e7-4463-4c65-8ccb-c2e1c8b0475e.dat /data/dnb12/galaxy_db/files/e/5/0/dataset_e500ddf1-5ec1-41a1-a11c-b6aaf48e70ff.dat</t>
  </si>
  <si>
    <t># Current dir:</t>
  </si>
  <si>
    <t>/data/jwd07/</t>
  </si>
  <si>
    <t>main/0</t>
  </si>
  <si>
    <t>95/983/95983165/workin</t>
  </si>
  <si>
    <t>g</t>
  </si>
  <si>
    <t># Date:</t>
  </si>
  <si>
    <t>Wed Jan 28 2</t>
  </si>
  <si>
    <t>7 2026</t>
  </si>
  <si>
    <t># [ok]</t>
  </si>
  <si>
    <t>Exons</t>
  </si>
  <si>
    <t>102363267</t>
  </si>
  <si>
    <t>&gt;Lch_XP_006010891.1
MPALIMEKKWAQFLLILSVAEIFVSAVPSESTEASPLGVTRNKIMTAQYECYQKILHKSK
DNKDHHCNRTWDGWLCWDDSPAGKTAIQHCPDYFQDFDPSEKVEKVCDSNGQWFRHPETN
RTWTNYTLCNNKTHEKVKTALNLYYLTIIGHGLSIASLLISLSIFFYFRSLSCQRITLHK
NLFFSFVCNSIITIIWLTAVANNQQLVARNPLSCKVSQFIHLYLMGCNYFWMLCEGIYLH
TLIVVAVFAEKQHLIWYYLLGWGFPLIPVCIHAVARSLYYNDNCWISSDTHLLYIIHGPI
CAALLVNLFFLLNIVRVLITKLKVTHQAESNLYMKAVRATLILVPLLGIQFVLVPWRPEG
RLAEEIYDYAMHISMHYQGLLVATIFCFFNGEVQAILKRHWNQYKIQFGHSFSHSDALRS
ASYTASSITEVQGSIYNHECNSEHLNGKSCHDIETVALKSENIYG</t>
  </si>
  <si>
    <t>DUP_SKIP</t>
  </si>
  <si>
    <t>102350244</t>
  </si>
  <si>
    <t>&gt;Lch_XP_064410865.1
MVPSFASTINYAESTLETAVTEQSPVRQKIIDSQFKCYEKMNKDPAYRKPGLHCNRTWDG
WLCWDDTPAGTYAFQDCPDYFQDFDTTEKAMKYCDETGNWFRHPETNRTWSNYTLCNSFT
PEKLKMAYILYYMAIVGHGLSIVSLLISLGIFFYFKSLSCQRITLHKNLFCSYVLNSVFT
IVHLIAVVNNPKLVTRNPVGCKVLQFFHQYMLGCNYFWMLCEGIYLHTLIVVAVFAEEQH
LHWYYLLGWGFPLVPASIHAVARTKYFNDNCWMSVDTHLLFIVHGPIVAALLVNLFFLLN
IVRVLVTKLRDTHRAESNMYMKAVRATLILVPLLGIQFVIIPWRPENRLAGEIYDYIMHI
LMHYQGLLVSTIFCFFNGEVQAALKRQWMQYKTQWGQRRRDHCSMRSTSYTATSITEVPA
YLYHHDCSSEQLNGKYDEDSEMTALKSRETYA</t>
  </si>
  <si>
    <t>102358806</t>
  </si>
  <si>
    <t>&gt;Lch_XP_005986341.1
MGRSWISCLLLALLSAEVSTSSQSNYVTTEHSGDASVELHLGMSQQQIMSAQFECYLKIL
GDPPYQEEEPYCQRTWDGWLCWEDTLPGTVVTKFCPEYFQDFDPSEKVTKVCEKNGKWFQ
HPDSNRTWTNYTLCTKNIKEKLKTAYILYYLAISGHGLSIVSLLISLGIFSYFKSLSCQR
ITLHKNLFLSFLLNSIVTIIWFSAVANNQMLVARNPIGCKVLQFLCLYLMGSNYFWMLCE
GIYLHTLIIVAVFVEEQQLSWYYILGWGFPVIPGIIHAVARFVFYNDNCWISAATHLLYI
IHGPICAALLVNLFFLLNIVRVLITKLKVTHKAESSTYMKAVRATLILIPLLGIQFVLVP
WKPMGHVAAEVYEYAMHILMHYQGLLVATIFCFFNGEVQAVLKRQWRRYRVQCGNQVVSS
ETSHSNNHTTSSELSRPTHHYTNGSTNGKSEKHQPLKPEETRIL</t>
  </si>
  <si>
    <t>102351980</t>
  </si>
  <si>
    <t>&gt;Lch_XP_006008082.1
MDSTILQIIIDEFDPNCSLIGIWDFDSNVSYPWLDLDGVFCNATTDQIGTCWPRSHPGQL
VERPCPDFFNGVKYNSTRSAFRECLGNGTWASKVNYSHCEPILEDKRNPLHYKIALIVNY
LGHCISVGALSVAFMLFLCLRSIRCLRNIIHWNLITTFILRNVMWFLLQIIDHNIHESNE
LWCRLITTVYNYFVVTNFFWMFVEGCYLHTAIVMTYSTDKLRKWVFLFIGWCIPCPIIVA
WAVGKLYYENEQCWFGKEPGKYMDYIYQGPVILVLLINFVFLFNIVRILMTKLRASTTSE
TIQYRKAVKATLVLLPLLGITYMLFFVNPGDDDISQIVFIYFNSFLQSFQGFFVSVFYCF
LNGEVRSAARKRWHRWQDNHSLRVRVARAMSIPTSPTRISFHSIKQTTAV</t>
  </si>
  <si>
    <t>102359764</t>
  </si>
  <si>
    <t>&gt;Lch_XP_005994697.1
MYTTINITGPYCNASRDLIGTCWPRSAVDLLIARPCPEYFYGVRYNTTNNIYRECFPNGT
WAARVNYSQCQEILNEEKKSKLHYHIAVIINYLGHCISLGALLIAFILFMRLRSIRCLRN
IIHWNLITAFILRNATWFVVQLSMNTKVHESNVIWCRLITAAYNYFHVTNFFWMFGEGCY
LHTAIVLTYSTDKLRKWMFICIGWCIPFPIIVAWAIGKLFYDNEKCWFGKRAGVYTDYIY
QGPMILVLLINFIFLFNIVRILMTKLRASTTSETIQYRKAVKATLVLLPLLGITYMLFFV
NPGEDEVSQIVFIYFNSFLESFQGFFVSVFYCFLNSEVRSAVRKRWHRWQDKHSIRARVA
RAMSIPTSPTRVSFHSIKQSTAV</t>
  </si>
  <si>
    <t>102347980</t>
  </si>
  <si>
    <t>&gt;Lch_XP_064420087.1
MRNFCNSKVKTGNNFFTVNLVDYDDPITTEEQIYLLIEAKVRCNLNITAHTHEGDRHCPP
EWDGLICWPTGSPGMLLAVPCPTYIFDFNHKGYAYRRCEGNGTWEFVETHNRTWVNYSDC
LTFLQPESNTEKQEFFERLYIMYTVGYSVSFGSLALAIFILVYFRRLHCTRNYIHLHLFA
SFMLRATSIFIKDKVVHVNTGGQELDSMLVDNLKSITMAPVVDKSQYVGCKIAVVLFIYF
LVTNYYWILVEGLYLHSLIFMAFFSETKYLWGFTLVGWGIPAVFVASWAIMRAMTADARC
WELSAGNTKWIYQAPILAAIGLNFIMFVNTLRILVTKIRETNAVGCDSRKQYRKLAKSTL
ILILVFGVHYIVFIGMPHTFTGLGWEIRMYLELFFNSFQGFFVSVVYCYCNGEVQTEVKK
TWTKWNLSFDWKRTTQCGNYRYGSVLTNLTSSVTSQSQSHMVVIPRSATISSKAVKHRAK
PLDRHVTLPGYVRSNSEQDSSPPSIPEETNENEEQQVDDISLKESLKPVVESNTAEDEES
F</t>
  </si>
  <si>
    <t>102361604</t>
  </si>
  <si>
    <t>&gt;Lch_XP_005994703.1
MADSACMNCILLLILCSFLSSIYALVDADDVITKEEQIYLLVDAKIKCEKNINIQLENIE
DRHCLPEWDGIICWPKGSLNEFVSVQCPKYIYDFNHKGHAYRKCDSVGNWKLALSINKTW
ANYSECTEFLNLEQRSKEKEVFDRLYMMYTVGYSISVTSLVVAVFILCCFKRLHCTRNYI
HIHLFASFICRAVSIFVKDTVLYSEIMPEELDKMRVGDLKEDLESRLGHRTQLAGCKAAV
TVFLYFLATNHYWILVEGLYLHSLIFMAFLSDKNYLWALTIIGWGVPAVFVSVWASVRAS
LADTQCWDLSAGNLKWVYQVPILAAIMMNFFLFLNIVRVLASKLWETNTGKLDPRQQYKR
LLKSTLVLMPLFGVHYVVFMAMPYTEVSGMIWQIQMHYEMLFNSSQGFFVAFIYCFCNGE
VQAELKKAWFRRNLALDLKQKTRVTSTGGSYYYGGMVSQSTNSASVSMAVRGASVGGLNF
SGKHRVLPLHSVTNTPGYIPSTSVSENSLLLSATKEINKKQPRETTKELTHQEQEINHCQ
EFETVL</t>
  </si>
  <si>
    <t>102358343</t>
  </si>
  <si>
    <t>&gt;Lch_XP_006002195.2
MHLFVSFMLRATSIFVRDAVLYSGSALEEMERLTEGDLKSIAEERPLDKTQFVGCKVVVT
LFLYFLTTNYYWILVEGLYLHSLIFMAFFSDKKNLWGFTLFGWGLPAVLVTVWATFRAAI
ADTGCWDLSAGNLKWIIQVPILAAIVVNFILFINIIRVLATKLRETNAGRCDTRQQYRKL
LKSTLVLMPLFGVHYIVFMALPYTDVSGILWQIQMHYEMLFNSFQGFFVAIIYCFCNGEV
QAEIKKSWSRWTLALDFKKKARSGSTTYSYGPMVSHTSITNVTTRGSLAFHLTTRLGSTV
LNGHRNLPGYVKNGSISENSMPSSGPEHCNKEEEPVNGSGVDEADRPTIVVEEERETVM</t>
  </si>
  <si>
    <t>102365371</t>
  </si>
  <si>
    <t>&gt;Lch_XP_014340032.1
MSFGTTNEGCHSCFSCVLLAVSLFLQGHAAESLDVTYEGWKRYMDECQKNMSREPPAKVL
VCNRTSDKFSCWPDALPNTTVNLSCPWYLPWYKKVQHGYLFKKCGPDGQWVLGPDGRPWR
DDSQCRRDESELQAQEEFARTYESFIIMYTVGYSLSLAALVLALGILVGFRKLHCMRNYI
HINLFVSFILRAVSILVKDALVNTQYKKKIDYENKVQVWLSGEAMVGCRTAMVLMQYGIA
ANYYWLLVEGIYLHNLLVIAVFSEKSYFNIYLCIGWGAPVLFVVPWVIVKYLYENIECWS
KNENMGFWWIIRSPILFAILINFFIFIRIIQILVSKLRAHQMRYTDYKFRLAKSTLTLIP
LLGIHEVVFVFITEEHAQGTLRCIKLFFELFFNSFQGLLVAILYCFVNKEVQSELLKKWK
RWKLGKDIDEEYKHTYSQMPQAKTGSSSNQDKHRLVSSHNNGTGKSKQAPHADPHDNGKN
GSSATEQITLSEKLHCYEFPQETAESNF</t>
  </si>
  <si>
    <t>102348810</t>
  </si>
  <si>
    <t>&gt;Lch_XP_005991637.1
MVELPRTFLLAVLLLSHAESIAGKTAQDMFQEWKRYEKECEQKMATDPYPTGLFCNRTFD
MYVCWPDGPPNTTVKVPCPWFLPWQEKVQNGSVFRKCGPGGHWVTDSSGLPWRDHSQCGY
VDEEIQIQKKVKILDHFRVMYTVGYSLSLAALVLALITLLAFRKLRCTRNYIHMNLFASF
ILRAISILMRDALLKTHIKQEIKNEGDIFNLLSDQAAVGCRLAQVLMQYCVGANYYWLLV
EGLYLHNLLVVMVLSEKSYFRGYLLIGWGAPVLFVVPWVLVRYFHENTQCWERNDNMAYW
WIIRFPILLAILINFFIFIRIIKILISKLRAHQMRYNNYKCRLAKSTLTLIPLLGIHKLV
FEFVTEEQAKGTLRYVKLFFELFLNSFQGLLVAILYCFVNKEVQSEISKKWQRRKLGMSL
LEENRHTCSNAPQGQGTGSGHRHHRPGSSCKACQREKNGKLSNDSNYSSENSSSGHHHSG
AKNSKSFCYISTKKLPPATNHTDRVMGEKPLVKVSESYC</t>
  </si>
  <si>
    <t>102363678</t>
  </si>
  <si>
    <t>&gt;Lch_XP_006001610.2
MEFPNSERIITKVLLSEAKTMKNKAACYKTPKAVVIVCTSFTVLQVSSGKILEKTFEKWM
QYRDECLKKIESEPYLTGLYCNRTFDMYACWPDGVPGMMVNVSCPSYLPWYEKVKHGTVS
KKCGLDGLWVLLNSSRPWRDYSQCEDEPEVTMEEEGTRRMMDSFKILYTVGYSLSLLALI
LALIILGTFRKLHCTRNYIHANLFASFALRAVSVIAKDALLEKRWGMEIMDVTDWGILLS
DEAAIGCRIAQVVMQYCILANHYWFLVEAVYLYKLLIGAVFSEKNYYTLYLYLGWGTPVM
FVIPWMAAKYLKENTECWGLNENMAYWWIIRFPILMASLINLVIFMRILKVILSKLRANQ
KGYADYKLRLAKATLTLIPLFGIHEVVFIFATDEQTTGTLRYIKVFFTLFLNSFQGFLVA
VLYCFANKEVKYEIKKKWQLWKLDNTPSCCSQ</t>
  </si>
  <si>
    <t>102364073</t>
  </si>
  <si>
    <t>&gt;Lch_XP_064423755.1
MIEDKNDMKAKGASLEDTIRMWFEYKEQCLNTITSESVYRTGVYCNGTFDQFVCWPDSPP
GNVSVPCPWYLPWVKKGSTGRVYRVCSHKGLWDTVQNSTQVWRDHSECSQHNQYFNQTEQ
EHLLLTVIRFLYTVGYSLSLASLLLAVLILLLMRKLHCTRNYIHINLFCSFILRVIAVFV
KDSILDHTYSKRPNNEMGWTSYFKSQLSMACRATHILMNYFVVANHYWLLVEGIYLHTLL
VTVVLSEKRLLQRYILIGWVFPVLFVVPWIITKALYENKGCWGTNINMGIWWIIRGPVML
SLAVNFYIFIKILKLLLSKLKARQLRFSDYKHRLARSTLVLISVFGIQEVVFAFVTDDQV
EGLSRIIRLFIQLPLSSFQGFLVALLYCFANGEVQTELKKRWKLLFLANHFDCTDCIFSK
PFKYLGKYLKQRRNRYFDGKGFHSKSKRPSSVQLLQVTVKVISDFQSPQPIPLEYFARES
LSESSNWDITLGETLEESQI</t>
  </si>
  <si>
    <t>102358656</t>
  </si>
  <si>
    <t>&gt;Lch_XP_064420142.1
MDARNLEENEAKAIPPECELHSILGKEEERCHDALSKEEENGSEAAWEELGCAGMWDNVS
CWPSSSVGQTVVIPCPEFLYILTGKEGFVYRNCTDTGWSESFPRHDIACGYDVNDTTHDD
RRLYFMSLKTMYTVGYSTSLTSLSVAMAILFYFRKLQCTRNYIHMHLFTSFILRAISIFV
KDMVLFSSEDIYHCNAYSAKCKFVMVFFQYCIMANYSWLLVEGLYLHTLLVITFFSERKY
FWWYIVLGWGLPLVFMMSWSIARHLYENIGCWDINTNSGIWWIIRGPVILSIFINFILFV
SIIRILITKLRTPDVRGNDINQYKRLAKSTLLLIPLFGVHYIVFAFFPEDVSDVTLEIRL
FLELSLGSFQGFVVAVLYCFLNGEVQYEIKRKWRRRQLRKHFDSRQHQNSMTSNGGPGTT
TTQVSLLTKCSPQDQRKFSTQSSSVV</t>
  </si>
  <si>
    <t>102348837</t>
  </si>
  <si>
    <t>&gt;Lch_XP_064410333.1
MEFARICLFAAALISWTHPVRGLLPECNIMLEIEKERMKCLMTIESENLTSGCRGLWDNI
TCWPSAVVGEMVVKQCPIYFSYFANAHGNVSRMCTSHGWTELYPAPYAAACGYDTNSTPT
EEAVFFDVVRIGYTVGHSLSLISLTAAMIILCIFRKLHCTRNYIHMHLFVSFIMRAVAVF
VKDVVLFENGESDHCFVGSTGCKAAMIFFQYCIMANFFWLLVEGLYLHTLLVISFFSERK
YFWWYILIGWGAPLVFITAWTITRIHFENYGCWDIIESSFWWIIKAPILISILVNFILFI
CIIRILVQKLHSPDVGRNDSSQYSRLAKSTLLLIPLFGIHYIMFAFFPDNFKVQVRLVFE
LILGSFQGFVVAILYCFLNSEVQAELKRKWRRWHLEQFLGSDTKYHHPSSGSNGTNFSTQ
ISMLTKCSPKTRRSSSFQADTSLV</t>
  </si>
  <si>
    <t>102349375</t>
  </si>
  <si>
    <t>&gt;Lch_XP_064410331.1
MHSDCIIKKEQEICLAKIKQEETFNDSFVGCPGMWDNITCWQSAAIGETAFVHCPLLFQI
ISSEDDLGIIYRNCTEEGWSEPFPHYFDACGFDENEIEPDNQDYYYLSVKALYTVGYSTS
LVSLTVAMVILCRFRKLHCTRNFIHMNLFVSFILRAISVFIKDGVLYDREDSKHCLIFTV
ECKAVMVFFHYCVMSNYFWLFIEGLYLFTLLVETFFPERRYFYWYTIIGWGTPTVCVTIW
AVLRLHFDDTGCWDMNDNTALWWVIKGPVVGSIMVNFVLFVGIIIILVQKLQSPDIGGNE
SSIYFCVQKCYCNPKRASQHSCKMSELSNITLRLARSTLLLIPLFGIHYIVFAFSPENVS
KRERLVFELGLGSFQGFVVAVLYCFLNGEVQSEIKRKWRSWKVNRYFAVDFKHRHPSLAS
SGANGGTQLSILSKSSSQIRMSSLNAENPAT</t>
  </si>
  <si>
    <t>102363157</t>
  </si>
  <si>
    <t>&gt;Lch_XP_064410705.1
MRNILIIVSLIFWCLGFVNGIHPECRFLLEIHEEELRCMELLSNFQSVAIQGCGGTWDNI
TCWRPAKIGETVTVPCPTVFSHFFSKSGNISKNCTVNGWSETFPNLTNACGFNVNAVHDD
KITFYVLVRAIYTLGHGASLIALSTGSAILCFCRKLHCTRNYIHLNLFTSFILKAVSVLV
KDDILYSTTSSLQCTEEEPSWIGCKAILVFFQYCVMANFFWLLVEGLYLHTLLVVIFSEN
RHFIVYLLIGWGIPTLFIVLWAVTRIYLEDTGCWDTNEQSTPWWIIKGPILISILVNFIF
FISIIRILVQKLRSPDVGGNDQSQYKRLAKSTLLLIPLFGVHYSIFAFFPNHFSMEYQIL
FELCVGSFQGLVVAILYCFMNSEVQTELKRKWRSLYLNRYLGREYRLHSSSISRNGSGKA
SYFHRNSRAQSFLQTETSVV</t>
  </si>
  <si>
    <t>102357760</t>
  </si>
  <si>
    <t>&gt;Lch_XP_064410907.1
MKSSHTVMHLLGSTPVWLAGVSARLHPECDFIYELRKAELRCRKEIKADGNQTTGGCQKM
WDAVLCWPRASVGETVTVSCPQVFLHYMKQAGSVKRNCSSSGWSEPFPPYYSACAVDDEI
PENEQSYFDTVKVIYTVGYSTSIISLSVAVIILIFFRRLHCARNYIHIQLFTTFILKAIA
VFIKDAVLFSNDIDHCSYSTAGCKASVVFCHYCVMTNFFWLLVEALYLNSLLVSSFPQGN
RFYWWFVLLGWGVPTLFIVVWIITRLHFENTECWDINEDSPYWWILKGPIVISIGVNFIL
FMNIIRILFKKLDPRRIHFNHSSQYRRLAKSTLLLIPLFGIHYVFFNFLPDYSSVEARIY
IELCFGSFQGFVVAILYCFLNQEVQTEVSRRWQRWHINSYAMVAVVAKESQMDTPF</t>
  </si>
  <si>
    <t>102349108</t>
  </si>
  <si>
    <t>&gt;Lch_XP_064410332.1
MHLFMSFILRAVAVFTKDAILFTDEDLNHCLVSTVSCKAAISFFQFSILANFFWLLVEGM
YLQTLLALTFISEKQYFWWYIIIGWGTPAAVLAVWTLFRVYSENTGCWDDNANVGIWWII
KGPILFAVLVNFLIFINLIRILVQKLNSPDVGGNHSSHYKRLAKSTLLLIPLFGVHYIVF
AFFPEDTGFDDARLFLELGLGSFQGFVVALLYCFLNGEVQAEVKKRMGRLRYQGYLAFSQ
RHRASSTESSVINFVTQFSLLEKLSPKRKPSGYQNCRVTV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</si>
</sst>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2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4"/>
  <sheetViews>
    <sheetView topLeftCell="M1" zoomScale="93" zoomScaleNormal="70" workbookViewId="0">
      <selection activeCell="U15" sqref="U15"/>
    </sheetView>
  </sheetViews>
  <sheetFormatPr defaultRowHeight="14.4" x14ac:dyDescent="0.3"/>
  <cols>
    <col min="1" max="1" width="16.21875" customWidth="1"/>
    <col min="7" max="7" width="25" customWidth="1"/>
  </cols>
  <sheetData>
    <row r="1" spans="1:23" x14ac:dyDescent="0.3">
      <c r="A1" t="s">
        <v>0</v>
      </c>
      <c r="G1" t="e">
        <f t="array" ref="G1">--- full</f>
        <v>#NAME?</v>
      </c>
      <c r="H1" t="s">
        <v>1</v>
      </c>
      <c r="I1" t="s">
        <v>2</v>
      </c>
      <c r="J1" t="s">
        <v>3</v>
      </c>
      <c r="K1" t="s">
        <v>4</v>
      </c>
      <c r="L1" t="e">
        <f t="array" ref="L1">------- th</f>
        <v>#NAME?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9</v>
      </c>
      <c r="T1" t="s">
        <v>11</v>
      </c>
      <c r="U1" t="s">
        <v>9</v>
      </c>
    </row>
    <row r="2" spans="1:23" x14ac:dyDescent="0.3">
      <c r="A2" t="s">
        <v>12</v>
      </c>
      <c r="B2" t="s">
        <v>13</v>
      </c>
      <c r="C2" t="s">
        <v>14</v>
      </c>
      <c r="D2" t="s">
        <v>15</v>
      </c>
      <c r="E2" t="s">
        <v>13</v>
      </c>
      <c r="F2" t="s">
        <v>16</v>
      </c>
      <c r="G2" t="s">
        <v>17</v>
      </c>
      <c r="H2" t="s">
        <v>18</v>
      </c>
      <c r="I2" t="s">
        <v>19</v>
      </c>
      <c r="J2" t="s">
        <v>0</v>
      </c>
      <c r="K2" t="s">
        <v>20</v>
      </c>
      <c r="L2" t="s">
        <v>21</v>
      </c>
      <c r="M2" t="s">
        <v>22</v>
      </c>
      <c r="N2" t="s">
        <v>18</v>
      </c>
      <c r="O2" t="s">
        <v>19</v>
      </c>
      <c r="P2" t="s">
        <v>23</v>
      </c>
      <c r="Q2" t="s">
        <v>24</v>
      </c>
      <c r="R2" t="s">
        <v>23</v>
      </c>
      <c r="S2" t="s">
        <v>24</v>
      </c>
      <c r="T2" t="s">
        <v>23</v>
      </c>
      <c r="U2" t="s">
        <v>24</v>
      </c>
      <c r="V2" t="s">
        <v>25</v>
      </c>
      <c r="W2" t="s">
        <v>26</v>
      </c>
    </row>
    <row r="3" spans="1:23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29</v>
      </c>
      <c r="G3" t="s">
        <v>32</v>
      </c>
      <c r="H3" t="s">
        <v>7</v>
      </c>
      <c r="I3" t="s">
        <v>29</v>
      </c>
      <c r="J3" t="s">
        <v>3</v>
      </c>
      <c r="K3" t="s">
        <v>3</v>
      </c>
      <c r="L3" t="s">
        <v>32</v>
      </c>
      <c r="M3" t="s">
        <v>32</v>
      </c>
      <c r="N3" t="s">
        <v>7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4</v>
      </c>
      <c r="W3" t="s">
        <v>33</v>
      </c>
    </row>
    <row r="4" spans="1:23" x14ac:dyDescent="0.3">
      <c r="A4" t="s">
        <v>34</v>
      </c>
      <c r="B4" t="s">
        <v>35</v>
      </c>
      <c r="C4">
        <v>519</v>
      </c>
      <c r="D4" t="s">
        <v>36</v>
      </c>
      <c r="E4" t="s">
        <v>35</v>
      </c>
      <c r="F4">
        <v>457</v>
      </c>
      <c r="G4" s="1">
        <v>2.2000000000000001E-154</v>
      </c>
      <c r="H4">
        <v>515.1</v>
      </c>
      <c r="I4">
        <v>7.9</v>
      </c>
      <c r="J4">
        <v>1</v>
      </c>
      <c r="K4">
        <v>1</v>
      </c>
      <c r="L4" s="1">
        <v>5.6000000000000002E-157</v>
      </c>
      <c r="M4" s="1">
        <v>2.6999999999999999E-154</v>
      </c>
      <c r="N4">
        <v>514.79999999999995</v>
      </c>
      <c r="O4">
        <v>7.9</v>
      </c>
      <c r="P4">
        <v>10</v>
      </c>
      <c r="Q4">
        <v>442</v>
      </c>
      <c r="R4">
        <v>8</v>
      </c>
      <c r="S4">
        <v>449</v>
      </c>
      <c r="T4">
        <v>1</v>
      </c>
      <c r="U4">
        <v>490</v>
      </c>
      <c r="V4">
        <v>0.91</v>
      </c>
      <c r="W4" t="s">
        <v>37</v>
      </c>
    </row>
    <row r="5" spans="1:23" x14ac:dyDescent="0.3">
      <c r="A5" t="s">
        <v>38</v>
      </c>
      <c r="B5" t="s">
        <v>35</v>
      </c>
      <c r="C5">
        <v>519</v>
      </c>
      <c r="D5" t="s">
        <v>36</v>
      </c>
      <c r="E5" t="s">
        <v>35</v>
      </c>
      <c r="F5">
        <v>457</v>
      </c>
      <c r="G5" s="1">
        <v>2.2000000000000001E-154</v>
      </c>
      <c r="H5">
        <v>515.1</v>
      </c>
      <c r="I5">
        <v>7.9</v>
      </c>
      <c r="J5">
        <v>1</v>
      </c>
      <c r="K5">
        <v>1</v>
      </c>
      <c r="L5" s="1">
        <v>5.6000000000000002E-157</v>
      </c>
      <c r="M5" s="1">
        <v>2.6999999999999999E-154</v>
      </c>
      <c r="N5">
        <v>514.79999999999995</v>
      </c>
      <c r="O5">
        <v>7.9</v>
      </c>
      <c r="P5">
        <v>10</v>
      </c>
      <c r="Q5">
        <v>442</v>
      </c>
      <c r="R5">
        <v>8</v>
      </c>
      <c r="S5">
        <v>449</v>
      </c>
      <c r="T5">
        <v>1</v>
      </c>
      <c r="U5">
        <v>490</v>
      </c>
      <c r="V5">
        <v>0.91</v>
      </c>
      <c r="W5" t="s">
        <v>37</v>
      </c>
    </row>
    <row r="6" spans="1:23" x14ac:dyDescent="0.3">
      <c r="A6" t="s">
        <v>39</v>
      </c>
      <c r="B6" t="s">
        <v>35</v>
      </c>
      <c r="C6">
        <v>519</v>
      </c>
      <c r="D6" t="s">
        <v>36</v>
      </c>
      <c r="E6" t="s">
        <v>35</v>
      </c>
      <c r="F6">
        <v>457</v>
      </c>
      <c r="G6" s="1">
        <v>2.2000000000000001E-154</v>
      </c>
      <c r="H6">
        <v>515.1</v>
      </c>
      <c r="I6">
        <v>7.9</v>
      </c>
      <c r="J6">
        <v>1</v>
      </c>
      <c r="K6">
        <v>1</v>
      </c>
      <c r="L6" s="1">
        <v>5.6000000000000002E-157</v>
      </c>
      <c r="M6" s="1">
        <v>2.6999999999999999E-154</v>
      </c>
      <c r="N6">
        <v>514.79999999999995</v>
      </c>
      <c r="O6">
        <v>7.9</v>
      </c>
      <c r="P6">
        <v>10</v>
      </c>
      <c r="Q6">
        <v>442</v>
      </c>
      <c r="R6">
        <v>8</v>
      </c>
      <c r="S6">
        <v>449</v>
      </c>
      <c r="T6">
        <v>1</v>
      </c>
      <c r="U6">
        <v>490</v>
      </c>
      <c r="V6">
        <v>0.91</v>
      </c>
      <c r="W6" t="s">
        <v>37</v>
      </c>
    </row>
    <row r="7" spans="1:23" x14ac:dyDescent="0.3">
      <c r="A7" t="s">
        <v>40</v>
      </c>
      <c r="B7" t="s">
        <v>35</v>
      </c>
      <c r="C7">
        <v>519</v>
      </c>
      <c r="D7" t="s">
        <v>36</v>
      </c>
      <c r="E7" t="s">
        <v>35</v>
      </c>
      <c r="F7">
        <v>457</v>
      </c>
      <c r="G7" s="1">
        <v>2.2000000000000001E-154</v>
      </c>
      <c r="H7">
        <v>515.1</v>
      </c>
      <c r="I7">
        <v>7.9</v>
      </c>
      <c r="J7">
        <v>1</v>
      </c>
      <c r="K7">
        <v>1</v>
      </c>
      <c r="L7" s="1">
        <v>5.6000000000000002E-157</v>
      </c>
      <c r="M7" s="1">
        <v>2.6999999999999999E-154</v>
      </c>
      <c r="N7">
        <v>514.79999999999995</v>
      </c>
      <c r="O7">
        <v>7.9</v>
      </c>
      <c r="P7">
        <v>10</v>
      </c>
      <c r="Q7">
        <v>442</v>
      </c>
      <c r="R7">
        <v>8</v>
      </c>
      <c r="S7">
        <v>449</v>
      </c>
      <c r="T7">
        <v>1</v>
      </c>
      <c r="U7">
        <v>490</v>
      </c>
      <c r="V7">
        <v>0.91</v>
      </c>
      <c r="W7" t="s">
        <v>37</v>
      </c>
    </row>
    <row r="8" spans="1:23" x14ac:dyDescent="0.3">
      <c r="A8" t="s">
        <v>41</v>
      </c>
      <c r="B8" t="s">
        <v>35</v>
      </c>
      <c r="C8">
        <v>519</v>
      </c>
      <c r="D8" t="s">
        <v>36</v>
      </c>
      <c r="E8" t="s">
        <v>35</v>
      </c>
      <c r="F8">
        <v>457</v>
      </c>
      <c r="G8" s="1">
        <v>2.2000000000000001E-154</v>
      </c>
      <c r="H8">
        <v>515.1</v>
      </c>
      <c r="I8">
        <v>7.9</v>
      </c>
      <c r="J8">
        <v>1</v>
      </c>
      <c r="K8">
        <v>1</v>
      </c>
      <c r="L8" s="1">
        <v>5.6000000000000002E-157</v>
      </c>
      <c r="M8" s="1">
        <v>2.6999999999999999E-154</v>
      </c>
      <c r="N8">
        <v>514.79999999999995</v>
      </c>
      <c r="O8">
        <v>7.9</v>
      </c>
      <c r="P8">
        <v>10</v>
      </c>
      <c r="Q8">
        <v>442</v>
      </c>
      <c r="R8">
        <v>8</v>
      </c>
      <c r="S8">
        <v>449</v>
      </c>
      <c r="T8">
        <v>1</v>
      </c>
      <c r="U8">
        <v>490</v>
      </c>
      <c r="V8">
        <v>0.91</v>
      </c>
      <c r="W8" t="s">
        <v>37</v>
      </c>
    </row>
    <row r="9" spans="1:23" x14ac:dyDescent="0.3">
      <c r="A9" t="s">
        <v>42</v>
      </c>
      <c r="B9" t="s">
        <v>35</v>
      </c>
      <c r="C9">
        <v>508</v>
      </c>
      <c r="D9" t="s">
        <v>36</v>
      </c>
      <c r="E9" t="s">
        <v>35</v>
      </c>
      <c r="F9">
        <v>457</v>
      </c>
      <c r="G9" s="1">
        <v>1.9000000000000001E-153</v>
      </c>
      <c r="H9">
        <v>512</v>
      </c>
      <c r="I9">
        <v>9.8000000000000007</v>
      </c>
      <c r="J9">
        <v>1</v>
      </c>
      <c r="K9">
        <v>1</v>
      </c>
      <c r="L9" s="1">
        <v>5.0999999999999996E-156</v>
      </c>
      <c r="M9" s="1">
        <v>2.4000000000000002E-153</v>
      </c>
      <c r="N9">
        <v>511.7</v>
      </c>
      <c r="O9">
        <v>9.8000000000000007</v>
      </c>
      <c r="P9">
        <v>9</v>
      </c>
      <c r="Q9">
        <v>442</v>
      </c>
      <c r="R9">
        <v>16</v>
      </c>
      <c r="S9">
        <v>460</v>
      </c>
      <c r="T9">
        <v>5</v>
      </c>
      <c r="U9">
        <v>495</v>
      </c>
      <c r="V9">
        <v>0.9</v>
      </c>
      <c r="W9" t="s">
        <v>43</v>
      </c>
    </row>
    <row r="10" spans="1:23" x14ac:dyDescent="0.3">
      <c r="A10" t="s">
        <v>44</v>
      </c>
      <c r="B10" t="s">
        <v>35</v>
      </c>
      <c r="C10">
        <v>541</v>
      </c>
      <c r="D10" t="s">
        <v>36</v>
      </c>
      <c r="E10" t="s">
        <v>35</v>
      </c>
      <c r="F10">
        <v>457</v>
      </c>
      <c r="G10" s="1">
        <v>5.0999999999999998E-153</v>
      </c>
      <c r="H10">
        <v>510.6</v>
      </c>
      <c r="I10">
        <v>13.6</v>
      </c>
      <c r="J10">
        <v>1</v>
      </c>
      <c r="K10">
        <v>1</v>
      </c>
      <c r="L10" s="1">
        <v>1.4E-155</v>
      </c>
      <c r="M10" s="1">
        <v>6.5000000000000003E-153</v>
      </c>
      <c r="N10">
        <v>510.2</v>
      </c>
      <c r="O10">
        <v>13.6</v>
      </c>
      <c r="P10">
        <v>20</v>
      </c>
      <c r="Q10">
        <v>441</v>
      </c>
      <c r="R10">
        <v>19</v>
      </c>
      <c r="S10">
        <v>455</v>
      </c>
      <c r="T10">
        <v>4</v>
      </c>
      <c r="U10">
        <v>497</v>
      </c>
      <c r="V10">
        <v>0.93</v>
      </c>
      <c r="W10" t="s">
        <v>45</v>
      </c>
    </row>
    <row r="11" spans="1:23" x14ac:dyDescent="0.3">
      <c r="A11" t="s">
        <v>46</v>
      </c>
      <c r="B11" t="s">
        <v>35</v>
      </c>
      <c r="C11">
        <v>465</v>
      </c>
      <c r="D11" t="s">
        <v>36</v>
      </c>
      <c r="E11" t="s">
        <v>35</v>
      </c>
      <c r="F11">
        <v>457</v>
      </c>
      <c r="G11" s="1">
        <v>6.9999999999999999E-151</v>
      </c>
      <c r="H11">
        <v>503.5</v>
      </c>
      <c r="I11">
        <v>21.1</v>
      </c>
      <c r="J11">
        <v>1</v>
      </c>
      <c r="K11">
        <v>1</v>
      </c>
      <c r="L11" s="1">
        <v>1.9000000000000001E-153</v>
      </c>
      <c r="M11" s="1">
        <v>8.9000000000000001E-151</v>
      </c>
      <c r="N11">
        <v>503.2</v>
      </c>
      <c r="O11">
        <v>21.1</v>
      </c>
      <c r="P11">
        <v>9</v>
      </c>
      <c r="Q11">
        <v>439</v>
      </c>
      <c r="R11">
        <v>16</v>
      </c>
      <c r="S11">
        <v>432</v>
      </c>
      <c r="T11">
        <v>5</v>
      </c>
      <c r="U11">
        <v>457</v>
      </c>
      <c r="V11">
        <v>0.93</v>
      </c>
      <c r="W11" t="s">
        <v>47</v>
      </c>
    </row>
    <row r="12" spans="1:23" x14ac:dyDescent="0.3">
      <c r="A12" t="s">
        <v>48</v>
      </c>
      <c r="B12" t="s">
        <v>35</v>
      </c>
      <c r="C12">
        <v>465</v>
      </c>
      <c r="D12" t="s">
        <v>36</v>
      </c>
      <c r="E12" t="s">
        <v>35</v>
      </c>
      <c r="F12">
        <v>457</v>
      </c>
      <c r="G12" s="1">
        <v>6.9999999999999999E-151</v>
      </c>
      <c r="H12">
        <v>503.5</v>
      </c>
      <c r="I12">
        <v>21.1</v>
      </c>
      <c r="J12">
        <v>1</v>
      </c>
      <c r="K12">
        <v>1</v>
      </c>
      <c r="L12" s="1">
        <v>1.9000000000000001E-153</v>
      </c>
      <c r="M12" s="1">
        <v>8.9000000000000001E-151</v>
      </c>
      <c r="N12">
        <v>503.2</v>
      </c>
      <c r="O12">
        <v>21.1</v>
      </c>
      <c r="P12">
        <v>9</v>
      </c>
      <c r="Q12">
        <v>439</v>
      </c>
      <c r="R12">
        <v>16</v>
      </c>
      <c r="S12">
        <v>432</v>
      </c>
      <c r="T12">
        <v>5</v>
      </c>
      <c r="U12">
        <v>457</v>
      </c>
      <c r="V12">
        <v>0.93</v>
      </c>
      <c r="W12" t="s">
        <v>47</v>
      </c>
    </row>
    <row r="13" spans="1:23" x14ac:dyDescent="0.3">
      <c r="A13" t="s">
        <v>49</v>
      </c>
      <c r="B13" t="s">
        <v>35</v>
      </c>
      <c r="C13">
        <v>452</v>
      </c>
      <c r="D13" t="s">
        <v>36</v>
      </c>
      <c r="E13" t="s">
        <v>35</v>
      </c>
      <c r="F13">
        <v>457</v>
      </c>
      <c r="G13" s="1">
        <v>1.1E-150</v>
      </c>
      <c r="H13">
        <v>502.9</v>
      </c>
      <c r="I13">
        <v>14</v>
      </c>
      <c r="J13">
        <v>1</v>
      </c>
      <c r="K13">
        <v>1</v>
      </c>
      <c r="L13" s="1">
        <v>2.9E-153</v>
      </c>
      <c r="M13" s="1">
        <v>1.4E-150</v>
      </c>
      <c r="N13">
        <v>502.6</v>
      </c>
      <c r="O13">
        <v>14</v>
      </c>
      <c r="P13">
        <v>24</v>
      </c>
      <c r="Q13">
        <v>437</v>
      </c>
      <c r="R13">
        <v>17</v>
      </c>
      <c r="S13">
        <v>417</v>
      </c>
      <c r="T13">
        <v>3</v>
      </c>
      <c r="U13">
        <v>442</v>
      </c>
      <c r="V13">
        <v>0.95</v>
      </c>
      <c r="W13" t="s">
        <v>47</v>
      </c>
    </row>
    <row r="14" spans="1:23" x14ac:dyDescent="0.3">
      <c r="A14" t="s">
        <v>50</v>
      </c>
      <c r="B14" t="s">
        <v>35</v>
      </c>
      <c r="C14">
        <v>446</v>
      </c>
      <c r="D14" t="s">
        <v>36</v>
      </c>
      <c r="E14" t="s">
        <v>35</v>
      </c>
      <c r="F14">
        <v>457</v>
      </c>
      <c r="G14" s="1">
        <v>1.1000000000000001E-148</v>
      </c>
      <c r="H14">
        <v>496.3</v>
      </c>
      <c r="I14">
        <v>10</v>
      </c>
      <c r="J14">
        <v>1</v>
      </c>
      <c r="K14">
        <v>1</v>
      </c>
      <c r="L14" s="1">
        <v>3.0000000000000002E-151</v>
      </c>
      <c r="M14" s="1">
        <v>1.4E-148</v>
      </c>
      <c r="N14">
        <v>495.9</v>
      </c>
      <c r="O14">
        <v>10</v>
      </c>
      <c r="P14">
        <v>23</v>
      </c>
      <c r="Q14">
        <v>439</v>
      </c>
      <c r="R14">
        <v>10</v>
      </c>
      <c r="S14">
        <v>424</v>
      </c>
      <c r="T14">
        <v>4</v>
      </c>
      <c r="U14">
        <v>444</v>
      </c>
      <c r="V14">
        <v>0.9</v>
      </c>
      <c r="W14" t="s">
        <v>51</v>
      </c>
    </row>
    <row r="15" spans="1:23" x14ac:dyDescent="0.3">
      <c r="A15" t="s">
        <v>52</v>
      </c>
      <c r="B15" t="s">
        <v>35</v>
      </c>
      <c r="C15">
        <v>546</v>
      </c>
      <c r="D15" t="s">
        <v>36</v>
      </c>
      <c r="E15" t="s">
        <v>35</v>
      </c>
      <c r="F15">
        <v>457</v>
      </c>
      <c r="G15" s="1">
        <v>1.2000000000000001E-148</v>
      </c>
      <c r="H15">
        <v>496.1</v>
      </c>
      <c r="I15">
        <v>17.5</v>
      </c>
      <c r="J15">
        <v>1</v>
      </c>
      <c r="K15">
        <v>1</v>
      </c>
      <c r="L15" s="1">
        <v>3.4000000000000003E-151</v>
      </c>
      <c r="M15" s="1">
        <v>1.6E-148</v>
      </c>
      <c r="N15">
        <v>495.8</v>
      </c>
      <c r="O15">
        <v>17.5</v>
      </c>
      <c r="P15">
        <v>8</v>
      </c>
      <c r="Q15">
        <v>439</v>
      </c>
      <c r="R15">
        <v>11</v>
      </c>
      <c r="S15">
        <v>460</v>
      </c>
      <c r="T15">
        <v>1</v>
      </c>
      <c r="U15">
        <v>479</v>
      </c>
      <c r="V15">
        <v>0.92</v>
      </c>
      <c r="W15" t="s">
        <v>53</v>
      </c>
    </row>
    <row r="16" spans="1:23" x14ac:dyDescent="0.3">
      <c r="A16" t="s">
        <v>54</v>
      </c>
      <c r="B16" t="s">
        <v>35</v>
      </c>
      <c r="C16">
        <v>444</v>
      </c>
      <c r="D16" t="s">
        <v>36</v>
      </c>
      <c r="E16" t="s">
        <v>35</v>
      </c>
      <c r="F16">
        <v>457</v>
      </c>
      <c r="G16" s="1">
        <v>2.0000000000000001E-146</v>
      </c>
      <c r="H16">
        <v>488.8</v>
      </c>
      <c r="I16">
        <v>18.8</v>
      </c>
      <c r="J16">
        <v>1</v>
      </c>
      <c r="K16">
        <v>1</v>
      </c>
      <c r="L16" s="1">
        <v>4.9999999999999997E-149</v>
      </c>
      <c r="M16" s="1">
        <v>2.4000000000000002E-146</v>
      </c>
      <c r="N16">
        <v>488.6</v>
      </c>
      <c r="O16">
        <v>18.8</v>
      </c>
      <c r="P16">
        <v>19</v>
      </c>
      <c r="Q16">
        <v>442</v>
      </c>
      <c r="R16">
        <v>15</v>
      </c>
      <c r="S16">
        <v>428</v>
      </c>
      <c r="T16">
        <v>1</v>
      </c>
      <c r="U16">
        <v>442</v>
      </c>
      <c r="V16">
        <v>0.92</v>
      </c>
      <c r="W16" t="s">
        <v>55</v>
      </c>
    </row>
    <row r="17" spans="1:32" x14ac:dyDescent="0.3">
      <c r="A17" t="s">
        <v>56</v>
      </c>
      <c r="B17" t="s">
        <v>35</v>
      </c>
      <c r="C17">
        <v>464</v>
      </c>
      <c r="D17" t="s">
        <v>36</v>
      </c>
      <c r="E17" t="s">
        <v>35</v>
      </c>
      <c r="F17">
        <v>457</v>
      </c>
      <c r="G17" s="1">
        <v>9.9999999999999991E-146</v>
      </c>
      <c r="H17">
        <v>486.5</v>
      </c>
      <c r="I17">
        <v>16</v>
      </c>
      <c r="J17">
        <v>1</v>
      </c>
      <c r="K17">
        <v>1</v>
      </c>
      <c r="L17" s="1">
        <v>2.4999999999999999E-148</v>
      </c>
      <c r="M17" s="1">
        <v>1.2000000000000001E-145</v>
      </c>
      <c r="N17">
        <v>486.3</v>
      </c>
      <c r="O17">
        <v>16</v>
      </c>
      <c r="P17">
        <v>26</v>
      </c>
      <c r="Q17">
        <v>446</v>
      </c>
      <c r="R17">
        <v>37</v>
      </c>
      <c r="S17">
        <v>446</v>
      </c>
      <c r="T17">
        <v>1</v>
      </c>
      <c r="U17">
        <v>460</v>
      </c>
      <c r="V17">
        <v>0.88</v>
      </c>
      <c r="W17" t="s">
        <v>47</v>
      </c>
    </row>
    <row r="18" spans="1:32" x14ac:dyDescent="0.3">
      <c r="A18" t="s">
        <v>57</v>
      </c>
      <c r="B18" t="s">
        <v>35</v>
      </c>
      <c r="C18">
        <v>451</v>
      </c>
      <c r="D18" t="s">
        <v>36</v>
      </c>
      <c r="E18" t="s">
        <v>35</v>
      </c>
      <c r="F18">
        <v>457</v>
      </c>
      <c r="G18" s="1">
        <v>7.0999999999999999E-140</v>
      </c>
      <c r="H18">
        <v>467.2</v>
      </c>
      <c r="I18">
        <v>15.1</v>
      </c>
      <c r="J18">
        <v>1</v>
      </c>
      <c r="K18">
        <v>1</v>
      </c>
      <c r="L18" s="1">
        <v>2.0000000000000001E-142</v>
      </c>
      <c r="M18" s="1">
        <v>9.4000000000000009E-140</v>
      </c>
      <c r="N18">
        <v>466.9</v>
      </c>
      <c r="O18">
        <v>15.1</v>
      </c>
      <c r="P18">
        <v>37</v>
      </c>
      <c r="Q18">
        <v>443</v>
      </c>
      <c r="R18">
        <v>7</v>
      </c>
      <c r="S18">
        <v>436</v>
      </c>
      <c r="T18">
        <v>2</v>
      </c>
      <c r="U18">
        <v>448</v>
      </c>
      <c r="V18">
        <v>0.94</v>
      </c>
      <c r="W18" t="s">
        <v>58</v>
      </c>
    </row>
    <row r="19" spans="1:32" x14ac:dyDescent="0.3">
      <c r="A19" t="s">
        <v>59</v>
      </c>
      <c r="B19" t="s">
        <v>35</v>
      </c>
      <c r="C19">
        <v>440</v>
      </c>
      <c r="D19" t="s">
        <v>36</v>
      </c>
      <c r="E19" t="s">
        <v>35</v>
      </c>
      <c r="F19">
        <v>457</v>
      </c>
      <c r="G19" s="1">
        <v>1.8E-137</v>
      </c>
      <c r="H19">
        <v>459.3</v>
      </c>
      <c r="I19">
        <v>17.7</v>
      </c>
      <c r="J19">
        <v>1</v>
      </c>
      <c r="K19">
        <v>1</v>
      </c>
      <c r="L19" s="1">
        <v>4.2000000000000003E-140</v>
      </c>
      <c r="M19" s="1">
        <v>2E-137</v>
      </c>
      <c r="N19">
        <v>459.2</v>
      </c>
      <c r="O19">
        <v>17.7</v>
      </c>
      <c r="P19">
        <v>25</v>
      </c>
      <c r="Q19">
        <v>436</v>
      </c>
      <c r="R19">
        <v>19</v>
      </c>
      <c r="S19">
        <v>420</v>
      </c>
      <c r="T19">
        <v>1</v>
      </c>
      <c r="U19">
        <v>439</v>
      </c>
      <c r="V19">
        <v>0.91</v>
      </c>
      <c r="W19" t="s">
        <v>60</v>
      </c>
    </row>
    <row r="20" spans="1:32" x14ac:dyDescent="0.3">
      <c r="A20" t="s">
        <v>61</v>
      </c>
      <c r="B20" t="s">
        <v>35</v>
      </c>
      <c r="C20">
        <v>452</v>
      </c>
      <c r="D20" t="s">
        <v>36</v>
      </c>
      <c r="E20" t="s">
        <v>35</v>
      </c>
      <c r="F20">
        <v>457</v>
      </c>
      <c r="G20" s="1">
        <v>4.1999999999999998E-137</v>
      </c>
      <c r="H20">
        <v>458.1</v>
      </c>
      <c r="I20">
        <v>17.3</v>
      </c>
      <c r="J20">
        <v>1</v>
      </c>
      <c r="K20">
        <v>1</v>
      </c>
      <c r="L20" s="1">
        <v>1.1000000000000001E-139</v>
      </c>
      <c r="M20" s="1">
        <v>5E-137</v>
      </c>
      <c r="N20">
        <v>457.9</v>
      </c>
      <c r="O20">
        <v>17.3</v>
      </c>
      <c r="P20">
        <v>22</v>
      </c>
      <c r="Q20">
        <v>417</v>
      </c>
      <c r="R20">
        <v>44</v>
      </c>
      <c r="S20">
        <v>447</v>
      </c>
      <c r="T20">
        <v>20</v>
      </c>
      <c r="U20">
        <v>452</v>
      </c>
      <c r="V20">
        <v>0.94</v>
      </c>
      <c r="W20" t="s">
        <v>62</v>
      </c>
    </row>
    <row r="21" spans="1:32" x14ac:dyDescent="0.3">
      <c r="A21" t="s">
        <v>63</v>
      </c>
      <c r="B21" t="s">
        <v>35</v>
      </c>
      <c r="C21">
        <v>416</v>
      </c>
      <c r="D21" t="s">
        <v>36</v>
      </c>
      <c r="E21" t="s">
        <v>35</v>
      </c>
      <c r="F21">
        <v>457</v>
      </c>
      <c r="G21" s="1">
        <v>4.8999999999999996E-137</v>
      </c>
      <c r="H21">
        <v>457.9</v>
      </c>
      <c r="I21">
        <v>18</v>
      </c>
      <c r="J21">
        <v>1</v>
      </c>
      <c r="K21">
        <v>1</v>
      </c>
      <c r="L21" s="1">
        <v>1.2000000000000001E-139</v>
      </c>
      <c r="M21" s="1">
        <v>5.5999999999999998E-137</v>
      </c>
      <c r="N21">
        <v>457.7</v>
      </c>
      <c r="O21">
        <v>18</v>
      </c>
      <c r="P21">
        <v>22</v>
      </c>
      <c r="Q21">
        <v>416</v>
      </c>
      <c r="R21">
        <v>20</v>
      </c>
      <c r="S21">
        <v>400</v>
      </c>
      <c r="T21">
        <v>1</v>
      </c>
      <c r="U21">
        <v>414</v>
      </c>
      <c r="V21">
        <v>0.92</v>
      </c>
      <c r="W21" t="s">
        <v>64</v>
      </c>
    </row>
    <row r="22" spans="1:32" x14ac:dyDescent="0.3">
      <c r="A22" t="s">
        <v>65</v>
      </c>
      <c r="B22" t="s">
        <v>35</v>
      </c>
      <c r="C22">
        <v>500</v>
      </c>
      <c r="D22" t="s">
        <v>36</v>
      </c>
      <c r="E22" t="s">
        <v>35</v>
      </c>
      <c r="F22">
        <v>457</v>
      </c>
      <c r="G22" s="1">
        <v>9.1000000000000008E-137</v>
      </c>
      <c r="H22">
        <v>457</v>
      </c>
      <c r="I22">
        <v>15.1</v>
      </c>
      <c r="J22">
        <v>1</v>
      </c>
      <c r="K22">
        <v>1</v>
      </c>
      <c r="L22" s="1">
        <v>2.4000000000000001E-139</v>
      </c>
      <c r="M22" s="1">
        <v>1.1999999999999999E-136</v>
      </c>
      <c r="N22">
        <v>456.7</v>
      </c>
      <c r="O22">
        <v>15.1</v>
      </c>
      <c r="P22">
        <v>26</v>
      </c>
      <c r="Q22">
        <v>418</v>
      </c>
      <c r="R22">
        <v>11</v>
      </c>
      <c r="S22">
        <v>412</v>
      </c>
      <c r="T22">
        <v>2</v>
      </c>
      <c r="U22">
        <v>451</v>
      </c>
      <c r="V22">
        <v>0.93</v>
      </c>
      <c r="W22" t="s">
        <v>66</v>
      </c>
    </row>
    <row r="23" spans="1:32" x14ac:dyDescent="0.3">
      <c r="A23" t="s">
        <v>67</v>
      </c>
      <c r="B23" t="s">
        <v>35</v>
      </c>
      <c r="C23">
        <v>505</v>
      </c>
      <c r="D23" t="s">
        <v>36</v>
      </c>
      <c r="E23" t="s">
        <v>35</v>
      </c>
      <c r="F23">
        <v>457</v>
      </c>
      <c r="G23" s="1">
        <v>5.8999999999999997E-135</v>
      </c>
      <c r="H23">
        <v>451</v>
      </c>
      <c r="I23">
        <v>13.5</v>
      </c>
      <c r="J23">
        <v>1</v>
      </c>
      <c r="K23">
        <v>1</v>
      </c>
      <c r="L23" s="1">
        <v>6.1000000000000001E-137</v>
      </c>
      <c r="M23" s="1">
        <v>2.8999999999999999E-134</v>
      </c>
      <c r="N23">
        <v>448.8</v>
      </c>
      <c r="O23">
        <v>13.4</v>
      </c>
      <c r="P23">
        <v>10</v>
      </c>
      <c r="Q23">
        <v>442</v>
      </c>
      <c r="R23">
        <v>8</v>
      </c>
      <c r="S23">
        <v>434</v>
      </c>
      <c r="T23">
        <v>1</v>
      </c>
      <c r="U23">
        <v>468</v>
      </c>
      <c r="V23">
        <v>0.9</v>
      </c>
      <c r="W23" t="s">
        <v>68</v>
      </c>
    </row>
    <row r="24" spans="1:32" x14ac:dyDescent="0.3">
      <c r="A24" t="s">
        <v>69</v>
      </c>
      <c r="B24" t="s">
        <v>35</v>
      </c>
      <c r="C24">
        <v>410</v>
      </c>
      <c r="D24" t="s">
        <v>36</v>
      </c>
      <c r="E24" t="s">
        <v>35</v>
      </c>
      <c r="F24">
        <v>457</v>
      </c>
      <c r="G24" s="1">
        <v>1.8000000000000001E-128</v>
      </c>
      <c r="H24">
        <v>429.7</v>
      </c>
      <c r="I24">
        <v>19.399999999999999</v>
      </c>
      <c r="J24">
        <v>1</v>
      </c>
      <c r="K24">
        <v>1</v>
      </c>
      <c r="L24" s="1">
        <v>4.6999999999999997E-131</v>
      </c>
      <c r="M24" s="1">
        <v>2.2000000000000001E-128</v>
      </c>
      <c r="N24">
        <v>429.4</v>
      </c>
      <c r="O24">
        <v>19.399999999999999</v>
      </c>
      <c r="P24">
        <v>56</v>
      </c>
      <c r="Q24">
        <v>437</v>
      </c>
      <c r="R24">
        <v>37</v>
      </c>
      <c r="S24">
        <v>400</v>
      </c>
      <c r="T24">
        <v>27</v>
      </c>
      <c r="U24">
        <v>409</v>
      </c>
      <c r="V24">
        <v>0.95</v>
      </c>
      <c r="W24" t="s">
        <v>70</v>
      </c>
    </row>
    <row r="25" spans="1:32" x14ac:dyDescent="0.3">
      <c r="A25" t="s">
        <v>71</v>
      </c>
      <c r="B25" t="s">
        <v>35</v>
      </c>
      <c r="C25">
        <v>383</v>
      </c>
      <c r="D25" t="s">
        <v>36</v>
      </c>
      <c r="E25" t="s">
        <v>35</v>
      </c>
      <c r="F25">
        <v>457</v>
      </c>
      <c r="G25" s="1">
        <v>1.6999999999999999E-125</v>
      </c>
      <c r="H25">
        <v>419.9</v>
      </c>
      <c r="I25">
        <v>23.2</v>
      </c>
      <c r="J25">
        <v>1</v>
      </c>
      <c r="K25">
        <v>1</v>
      </c>
      <c r="L25" s="1">
        <v>4.7000000000000004E-128</v>
      </c>
      <c r="M25" s="1">
        <v>2.1999999999999999E-125</v>
      </c>
      <c r="N25">
        <v>419.5</v>
      </c>
      <c r="O25">
        <v>23.2</v>
      </c>
      <c r="P25">
        <v>56</v>
      </c>
      <c r="Q25">
        <v>441</v>
      </c>
      <c r="R25">
        <v>8</v>
      </c>
      <c r="S25">
        <v>377</v>
      </c>
      <c r="T25">
        <v>2</v>
      </c>
      <c r="U25">
        <v>382</v>
      </c>
      <c r="V25">
        <v>0.95</v>
      </c>
      <c r="W25" t="s">
        <v>72</v>
      </c>
    </row>
    <row r="26" spans="1:32" x14ac:dyDescent="0.3">
      <c r="A26" t="s">
        <v>73</v>
      </c>
      <c r="B26" t="s">
        <v>35</v>
      </c>
      <c r="C26">
        <v>466</v>
      </c>
      <c r="D26" t="s">
        <v>36</v>
      </c>
      <c r="E26" t="s">
        <v>35</v>
      </c>
      <c r="F26">
        <v>457</v>
      </c>
      <c r="G26" s="1">
        <v>1.5999999999999999E-123</v>
      </c>
      <c r="H26">
        <v>413.4</v>
      </c>
      <c r="I26">
        <v>3.5</v>
      </c>
      <c r="J26">
        <v>1</v>
      </c>
      <c r="K26">
        <v>2</v>
      </c>
      <c r="L26" s="1">
        <v>2.3E-95</v>
      </c>
      <c r="M26" s="1">
        <v>1.0999999999999999E-92</v>
      </c>
      <c r="N26">
        <v>311.7</v>
      </c>
      <c r="O26">
        <v>0.7</v>
      </c>
      <c r="P26">
        <v>10</v>
      </c>
      <c r="Q26">
        <v>287</v>
      </c>
      <c r="R26">
        <v>8</v>
      </c>
      <c r="S26">
        <v>289</v>
      </c>
      <c r="T26">
        <v>1</v>
      </c>
      <c r="U26">
        <v>289</v>
      </c>
      <c r="V26">
        <v>0.93</v>
      </c>
      <c r="W26" t="s">
        <v>74</v>
      </c>
    </row>
    <row r="27" spans="1:32" x14ac:dyDescent="0.3">
      <c r="A27" t="s">
        <v>73</v>
      </c>
      <c r="B27" t="s">
        <v>35</v>
      </c>
      <c r="C27">
        <v>466</v>
      </c>
      <c r="D27" t="s">
        <v>36</v>
      </c>
      <c r="E27" t="s">
        <v>35</v>
      </c>
      <c r="F27">
        <v>457</v>
      </c>
      <c r="G27" s="1">
        <v>1.5999999999999999E-123</v>
      </c>
      <c r="H27">
        <v>413.4</v>
      </c>
      <c r="I27">
        <v>3.5</v>
      </c>
      <c r="J27">
        <v>2</v>
      </c>
      <c r="K27">
        <v>2</v>
      </c>
      <c r="L27" s="1">
        <v>2.9E-32</v>
      </c>
      <c r="M27" s="1">
        <v>1.4000000000000001E-29</v>
      </c>
      <c r="N27">
        <v>103.7</v>
      </c>
      <c r="O27">
        <v>0.1</v>
      </c>
      <c r="P27">
        <v>340</v>
      </c>
      <c r="Q27">
        <v>442</v>
      </c>
      <c r="R27">
        <v>289</v>
      </c>
      <c r="S27">
        <v>395</v>
      </c>
      <c r="T27">
        <v>287</v>
      </c>
      <c r="U27">
        <v>421</v>
      </c>
      <c r="V27">
        <v>0.81</v>
      </c>
      <c r="W27" t="s">
        <v>74</v>
      </c>
    </row>
    <row r="28" spans="1:32" x14ac:dyDescent="0.3">
      <c r="A28" t="s">
        <v>75</v>
      </c>
      <c r="B28" t="s">
        <v>35</v>
      </c>
      <c r="C28">
        <v>359</v>
      </c>
      <c r="D28" t="s">
        <v>36</v>
      </c>
      <c r="E28" t="s">
        <v>35</v>
      </c>
      <c r="F28">
        <v>457</v>
      </c>
      <c r="G28" s="1">
        <v>1.2E-99</v>
      </c>
      <c r="H28">
        <v>334.7</v>
      </c>
      <c r="I28">
        <v>8.5</v>
      </c>
      <c r="J28">
        <v>1</v>
      </c>
      <c r="K28">
        <v>1</v>
      </c>
      <c r="L28" s="1">
        <v>2.8000000000000001E-102</v>
      </c>
      <c r="M28" s="1">
        <v>1.3E-99</v>
      </c>
      <c r="N28">
        <v>334.5</v>
      </c>
      <c r="O28">
        <v>8.5</v>
      </c>
      <c r="P28">
        <v>178</v>
      </c>
      <c r="Q28">
        <v>445</v>
      </c>
      <c r="R28">
        <v>1</v>
      </c>
      <c r="S28">
        <v>283</v>
      </c>
      <c r="T28">
        <v>1</v>
      </c>
      <c r="U28">
        <v>317</v>
      </c>
      <c r="V28">
        <v>0.94</v>
      </c>
      <c r="W28" t="s">
        <v>76</v>
      </c>
    </row>
    <row r="29" spans="1:32" x14ac:dyDescent="0.3">
      <c r="A29" t="s">
        <v>77</v>
      </c>
      <c r="B29" t="s">
        <v>35</v>
      </c>
      <c r="C29">
        <v>280</v>
      </c>
      <c r="D29" t="s">
        <v>36</v>
      </c>
      <c r="E29" t="s">
        <v>35</v>
      </c>
      <c r="F29">
        <v>457</v>
      </c>
      <c r="G29" s="1">
        <v>6.3999999999999999E-94</v>
      </c>
      <c r="H29">
        <v>315.8</v>
      </c>
      <c r="I29">
        <v>7</v>
      </c>
      <c r="J29">
        <v>1</v>
      </c>
      <c r="K29">
        <v>1</v>
      </c>
      <c r="L29" s="1">
        <v>1.5000000000000001E-96</v>
      </c>
      <c r="M29" s="1">
        <v>7.3999999999999996E-94</v>
      </c>
      <c r="N29">
        <v>315.60000000000002</v>
      </c>
      <c r="O29">
        <v>7</v>
      </c>
      <c r="P29">
        <v>178</v>
      </c>
      <c r="Q29">
        <v>438</v>
      </c>
      <c r="R29">
        <v>1</v>
      </c>
      <c r="S29">
        <v>257</v>
      </c>
      <c r="T29">
        <v>1</v>
      </c>
      <c r="U29">
        <v>275</v>
      </c>
      <c r="V29">
        <v>0.94</v>
      </c>
      <c r="W29" t="s">
        <v>55</v>
      </c>
    </row>
    <row r="30" spans="1:32" x14ac:dyDescent="0.3">
      <c r="A30" s="3" t="s">
        <v>78</v>
      </c>
      <c r="B30" s="3" t="s">
        <v>35</v>
      </c>
      <c r="C30" s="3">
        <v>1250</v>
      </c>
      <c r="D30" s="3" t="s">
        <v>36</v>
      </c>
      <c r="E30" s="3" t="s">
        <v>35</v>
      </c>
      <c r="F30" s="3">
        <v>457</v>
      </c>
      <c r="G30" s="4">
        <v>1.6999999999999999E-41</v>
      </c>
      <c r="H30" s="3">
        <v>142.9</v>
      </c>
      <c r="I30" s="3">
        <v>22.1</v>
      </c>
      <c r="J30" s="3">
        <v>1</v>
      </c>
      <c r="K30" s="3">
        <v>2</v>
      </c>
      <c r="L30" s="3">
        <v>5.7999999999999996E-3</v>
      </c>
      <c r="M30" s="3">
        <v>2.7</v>
      </c>
      <c r="N30" s="3">
        <v>7.1</v>
      </c>
      <c r="O30" s="3">
        <v>0.2</v>
      </c>
      <c r="P30" s="3">
        <v>31</v>
      </c>
      <c r="Q30" s="3">
        <v>101</v>
      </c>
      <c r="R30" s="3">
        <v>272</v>
      </c>
      <c r="S30" s="3">
        <v>337</v>
      </c>
      <c r="T30" s="3">
        <v>250</v>
      </c>
      <c r="U30" s="3">
        <v>370</v>
      </c>
      <c r="V30" s="3">
        <v>0.77</v>
      </c>
      <c r="W30" s="3" t="s">
        <v>79</v>
      </c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 t="s">
        <v>78</v>
      </c>
      <c r="B31" s="3" t="s">
        <v>35</v>
      </c>
      <c r="C31" s="3">
        <v>1250</v>
      </c>
      <c r="D31" s="3" t="s">
        <v>36</v>
      </c>
      <c r="E31" s="3" t="s">
        <v>35</v>
      </c>
      <c r="F31" s="3">
        <v>457</v>
      </c>
      <c r="G31" s="4">
        <v>1.6999999999999999E-41</v>
      </c>
      <c r="H31" s="3">
        <v>142.9</v>
      </c>
      <c r="I31" s="3">
        <v>22.1</v>
      </c>
      <c r="J31" s="3">
        <v>2</v>
      </c>
      <c r="K31" s="3">
        <v>2</v>
      </c>
      <c r="L31" s="4">
        <v>9.1999999999999995E-43</v>
      </c>
      <c r="M31" s="4">
        <v>4.4000000000000002E-40</v>
      </c>
      <c r="N31" s="3">
        <v>138.30000000000001</v>
      </c>
      <c r="O31" s="3">
        <v>17</v>
      </c>
      <c r="P31" s="3">
        <v>113</v>
      </c>
      <c r="Q31" s="3">
        <v>438</v>
      </c>
      <c r="R31" s="3">
        <v>633</v>
      </c>
      <c r="S31" s="3">
        <v>949</v>
      </c>
      <c r="T31" s="3">
        <v>610</v>
      </c>
      <c r="U31" s="3">
        <v>996</v>
      </c>
      <c r="V31" s="3">
        <v>0.8</v>
      </c>
      <c r="W31" s="3" t="s">
        <v>79</v>
      </c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 t="s">
        <v>80</v>
      </c>
      <c r="B32" s="3" t="s">
        <v>35</v>
      </c>
      <c r="C32" s="3">
        <v>918</v>
      </c>
      <c r="D32" s="3" t="s">
        <v>36</v>
      </c>
      <c r="E32" s="3" t="s">
        <v>35</v>
      </c>
      <c r="F32" s="3">
        <v>457</v>
      </c>
      <c r="G32" s="4">
        <v>1.8E-41</v>
      </c>
      <c r="H32" s="3">
        <v>142.9</v>
      </c>
      <c r="I32" s="3">
        <v>16.600000000000001</v>
      </c>
      <c r="J32" s="3">
        <v>1</v>
      </c>
      <c r="K32" s="3">
        <v>1</v>
      </c>
      <c r="L32" s="4">
        <v>6.8000000000000003E-44</v>
      </c>
      <c r="M32" s="4">
        <v>3.2000000000000001E-41</v>
      </c>
      <c r="N32" s="3">
        <v>142</v>
      </c>
      <c r="O32" s="3">
        <v>16.600000000000001</v>
      </c>
      <c r="P32" s="3">
        <v>137</v>
      </c>
      <c r="Q32" s="3">
        <v>421</v>
      </c>
      <c r="R32" s="3">
        <v>606</v>
      </c>
      <c r="S32" s="3">
        <v>878</v>
      </c>
      <c r="T32" s="3">
        <v>579</v>
      </c>
      <c r="U32" s="3">
        <v>914</v>
      </c>
      <c r="V32" s="3">
        <v>0.79</v>
      </c>
      <c r="W32" s="3" t="s">
        <v>81</v>
      </c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 t="s">
        <v>82</v>
      </c>
      <c r="B33" s="3" t="s">
        <v>35</v>
      </c>
      <c r="C33" s="3">
        <v>1247</v>
      </c>
      <c r="D33" s="3" t="s">
        <v>36</v>
      </c>
      <c r="E33" s="3" t="s">
        <v>35</v>
      </c>
      <c r="F33" s="3">
        <v>457</v>
      </c>
      <c r="G33" s="4">
        <v>6.3000000000000001E-39</v>
      </c>
      <c r="H33" s="3">
        <v>134.5</v>
      </c>
      <c r="I33" s="3">
        <v>21</v>
      </c>
      <c r="J33" s="3">
        <v>1</v>
      </c>
      <c r="K33" s="3">
        <v>1</v>
      </c>
      <c r="L33" s="4">
        <v>2.3000000000000001E-41</v>
      </c>
      <c r="M33" s="4">
        <v>1.1E-38</v>
      </c>
      <c r="N33" s="3">
        <v>133.69999999999999</v>
      </c>
      <c r="O33" s="3">
        <v>21</v>
      </c>
      <c r="P33" s="3">
        <v>113</v>
      </c>
      <c r="Q33" s="3">
        <v>411</v>
      </c>
      <c r="R33" s="3">
        <v>641</v>
      </c>
      <c r="S33" s="3">
        <v>938</v>
      </c>
      <c r="T33" s="3">
        <v>628</v>
      </c>
      <c r="U33" s="3">
        <v>951</v>
      </c>
      <c r="V33" s="3">
        <v>0.83</v>
      </c>
      <c r="W33" s="3" t="s">
        <v>83</v>
      </c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 t="s">
        <v>84</v>
      </c>
      <c r="B34" s="3" t="s">
        <v>35</v>
      </c>
      <c r="C34" s="3">
        <v>799</v>
      </c>
      <c r="D34" s="3" t="s">
        <v>36</v>
      </c>
      <c r="E34" s="3" t="s">
        <v>35</v>
      </c>
      <c r="F34" s="3">
        <v>457</v>
      </c>
      <c r="G34" s="4">
        <v>1.1E-36</v>
      </c>
      <c r="H34" s="3">
        <v>127</v>
      </c>
      <c r="I34" s="3">
        <v>24.3</v>
      </c>
      <c r="J34" s="3">
        <v>1</v>
      </c>
      <c r="K34" s="3">
        <v>1</v>
      </c>
      <c r="L34" s="4">
        <v>6.0000000000000006E-39</v>
      </c>
      <c r="M34" s="4">
        <v>2.9000000000000001E-36</v>
      </c>
      <c r="N34" s="3">
        <v>125.7</v>
      </c>
      <c r="O34" s="3">
        <v>24.3</v>
      </c>
      <c r="P34" s="3">
        <v>102</v>
      </c>
      <c r="Q34" s="3">
        <v>440</v>
      </c>
      <c r="R34" s="3">
        <v>468</v>
      </c>
      <c r="S34" s="3">
        <v>789</v>
      </c>
      <c r="T34" s="3">
        <v>463</v>
      </c>
      <c r="U34" s="3">
        <v>799</v>
      </c>
      <c r="V34" s="3">
        <v>0.81</v>
      </c>
      <c r="W34" s="3" t="s">
        <v>85</v>
      </c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 t="s">
        <v>86</v>
      </c>
      <c r="B35" s="3" t="s">
        <v>35</v>
      </c>
      <c r="C35" s="3">
        <v>844</v>
      </c>
      <c r="D35" s="3" t="s">
        <v>36</v>
      </c>
      <c r="E35" s="3" t="s">
        <v>35</v>
      </c>
      <c r="F35" s="3">
        <v>457</v>
      </c>
      <c r="G35" s="4">
        <v>3.2000000000000002E-36</v>
      </c>
      <c r="H35" s="3">
        <v>125.5</v>
      </c>
      <c r="I35" s="3">
        <v>24.3</v>
      </c>
      <c r="J35" s="3">
        <v>1</v>
      </c>
      <c r="K35" s="3">
        <v>1</v>
      </c>
      <c r="L35" s="4">
        <v>6.7999999999999998E-39</v>
      </c>
      <c r="M35" s="4">
        <v>3.2000000000000002E-36</v>
      </c>
      <c r="N35" s="3">
        <v>125.5</v>
      </c>
      <c r="O35" s="3">
        <v>24.3</v>
      </c>
      <c r="P35" s="3">
        <v>102</v>
      </c>
      <c r="Q35" s="3">
        <v>440</v>
      </c>
      <c r="R35" s="3">
        <v>513</v>
      </c>
      <c r="S35" s="3">
        <v>834</v>
      </c>
      <c r="T35" s="3">
        <v>508</v>
      </c>
      <c r="U35" s="3">
        <v>844</v>
      </c>
      <c r="V35" s="3">
        <v>0.81</v>
      </c>
      <c r="W35" s="3" t="s">
        <v>87</v>
      </c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 t="s">
        <v>88</v>
      </c>
      <c r="B36" s="3" t="s">
        <v>35</v>
      </c>
      <c r="C36" s="3">
        <v>174</v>
      </c>
      <c r="D36" s="3" t="s">
        <v>36</v>
      </c>
      <c r="E36" s="3" t="s">
        <v>35</v>
      </c>
      <c r="F36" s="3">
        <v>457</v>
      </c>
      <c r="G36" s="4">
        <v>4.5000000000000002E-36</v>
      </c>
      <c r="H36" s="3">
        <v>125.1</v>
      </c>
      <c r="I36" s="3">
        <v>0.1</v>
      </c>
      <c r="J36" s="3">
        <v>1</v>
      </c>
      <c r="K36" s="3">
        <v>1</v>
      </c>
      <c r="L36" s="4">
        <v>9.9999999999999996E-39</v>
      </c>
      <c r="M36" s="4">
        <v>5E-36</v>
      </c>
      <c r="N36" s="3">
        <v>124.9</v>
      </c>
      <c r="O36" s="3">
        <v>0.1</v>
      </c>
      <c r="P36" s="3">
        <v>296</v>
      </c>
      <c r="Q36" s="3">
        <v>430</v>
      </c>
      <c r="R36" s="3">
        <v>2</v>
      </c>
      <c r="S36" s="3">
        <v>137</v>
      </c>
      <c r="T36" s="3">
        <v>1</v>
      </c>
      <c r="U36" s="3">
        <v>156</v>
      </c>
      <c r="V36" s="3">
        <v>0.92</v>
      </c>
      <c r="W36" s="3" t="s">
        <v>62</v>
      </c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 t="s">
        <v>89</v>
      </c>
      <c r="B37" s="3" t="s">
        <v>35</v>
      </c>
      <c r="C37" s="3">
        <v>3258</v>
      </c>
      <c r="D37" s="3" t="s">
        <v>36</v>
      </c>
      <c r="E37" s="3" t="s">
        <v>35</v>
      </c>
      <c r="F37" s="3">
        <v>457</v>
      </c>
      <c r="G37" s="4">
        <v>1.3E-35</v>
      </c>
      <c r="H37" s="3">
        <v>123.6</v>
      </c>
      <c r="I37" s="3">
        <v>19.899999999999999</v>
      </c>
      <c r="J37" s="3">
        <v>1</v>
      </c>
      <c r="K37" s="3">
        <v>2</v>
      </c>
      <c r="L37" s="3">
        <v>0.01</v>
      </c>
      <c r="M37" s="3">
        <v>4.9000000000000004</v>
      </c>
      <c r="N37" s="3">
        <v>6.3</v>
      </c>
      <c r="O37" s="3">
        <v>2.4</v>
      </c>
      <c r="P37" s="3">
        <v>57</v>
      </c>
      <c r="Q37" s="3">
        <v>124</v>
      </c>
      <c r="R37" s="3">
        <v>2043</v>
      </c>
      <c r="S37" s="3">
        <v>2105</v>
      </c>
      <c r="T37" s="3">
        <v>2010</v>
      </c>
      <c r="U37" s="3">
        <v>2128</v>
      </c>
      <c r="V37" s="3">
        <v>0.78</v>
      </c>
      <c r="W37" s="3" t="s">
        <v>90</v>
      </c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 t="s">
        <v>89</v>
      </c>
      <c r="B38" s="3" t="s">
        <v>35</v>
      </c>
      <c r="C38" s="3">
        <v>3258</v>
      </c>
      <c r="D38" s="3" t="s">
        <v>36</v>
      </c>
      <c r="E38" s="3" t="s">
        <v>35</v>
      </c>
      <c r="F38" s="3">
        <v>457</v>
      </c>
      <c r="G38" s="4">
        <v>1.3E-35</v>
      </c>
      <c r="H38" s="3">
        <v>123.6</v>
      </c>
      <c r="I38" s="3">
        <v>19.899999999999999</v>
      </c>
      <c r="J38" s="3">
        <v>2</v>
      </c>
      <c r="K38" s="3">
        <v>2</v>
      </c>
      <c r="L38" s="4">
        <v>6.2999999999999996E-38</v>
      </c>
      <c r="M38" s="4">
        <v>2.9999999999999999E-35</v>
      </c>
      <c r="N38" s="3">
        <v>122.4</v>
      </c>
      <c r="O38" s="3">
        <v>9.8000000000000007</v>
      </c>
      <c r="P38" s="3">
        <v>130</v>
      </c>
      <c r="Q38" s="3">
        <v>413</v>
      </c>
      <c r="R38" s="3">
        <v>2445</v>
      </c>
      <c r="S38" s="3">
        <v>2705</v>
      </c>
      <c r="T38" s="3">
        <v>2411</v>
      </c>
      <c r="U38" s="3">
        <v>2749</v>
      </c>
      <c r="V38" s="3">
        <v>0.85</v>
      </c>
      <c r="W38" s="3" t="s">
        <v>90</v>
      </c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 t="s">
        <v>91</v>
      </c>
      <c r="B39" s="3" t="s">
        <v>35</v>
      </c>
      <c r="C39" s="3">
        <v>1417</v>
      </c>
      <c r="D39" s="3" t="s">
        <v>36</v>
      </c>
      <c r="E39" s="3" t="s">
        <v>35</v>
      </c>
      <c r="F39" s="3">
        <v>457</v>
      </c>
      <c r="G39" s="4">
        <v>2.2999999999999999E-35</v>
      </c>
      <c r="H39" s="3">
        <v>122.7</v>
      </c>
      <c r="I39" s="3">
        <v>25.5</v>
      </c>
      <c r="J39" s="3">
        <v>1</v>
      </c>
      <c r="K39" s="3">
        <v>2</v>
      </c>
      <c r="L39" s="3">
        <v>3.1E-2</v>
      </c>
      <c r="M39" s="3">
        <v>15</v>
      </c>
      <c r="N39" s="3">
        <v>4.7</v>
      </c>
      <c r="O39" s="3">
        <v>0.5</v>
      </c>
      <c r="P39" s="3">
        <v>58</v>
      </c>
      <c r="Q39" s="3">
        <v>108</v>
      </c>
      <c r="R39" s="3">
        <v>469</v>
      </c>
      <c r="S39" s="3">
        <v>515</v>
      </c>
      <c r="T39" s="3">
        <v>461</v>
      </c>
      <c r="U39" s="3">
        <v>554</v>
      </c>
      <c r="V39" s="3">
        <v>0.74</v>
      </c>
      <c r="W39" s="3" t="s">
        <v>92</v>
      </c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 t="s">
        <v>91</v>
      </c>
      <c r="B40" s="3" t="s">
        <v>35</v>
      </c>
      <c r="C40" s="3">
        <v>1417</v>
      </c>
      <c r="D40" s="3" t="s">
        <v>36</v>
      </c>
      <c r="E40" s="3" t="s">
        <v>35</v>
      </c>
      <c r="F40" s="3">
        <v>457</v>
      </c>
      <c r="G40" s="4">
        <v>2.2999999999999999E-35</v>
      </c>
      <c r="H40" s="3">
        <v>122.7</v>
      </c>
      <c r="I40" s="3">
        <v>25.5</v>
      </c>
      <c r="J40" s="3">
        <v>2</v>
      </c>
      <c r="K40" s="3">
        <v>2</v>
      </c>
      <c r="L40" s="4">
        <v>1.1E-37</v>
      </c>
      <c r="M40" s="4">
        <v>5.2000000000000001E-35</v>
      </c>
      <c r="N40" s="3">
        <v>121.6</v>
      </c>
      <c r="O40" s="3">
        <v>18.8</v>
      </c>
      <c r="P40" s="3">
        <v>130</v>
      </c>
      <c r="Q40" s="3">
        <v>442</v>
      </c>
      <c r="R40" s="3">
        <v>837</v>
      </c>
      <c r="S40" s="3">
        <v>1135</v>
      </c>
      <c r="T40" s="3">
        <v>801</v>
      </c>
      <c r="U40" s="3">
        <v>1182</v>
      </c>
      <c r="V40" s="3">
        <v>0.8</v>
      </c>
      <c r="W40" s="3" t="s">
        <v>92</v>
      </c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 t="s">
        <v>93</v>
      </c>
      <c r="B41" s="3" t="s">
        <v>35</v>
      </c>
      <c r="C41" s="3">
        <v>1460</v>
      </c>
      <c r="D41" s="3" t="s">
        <v>36</v>
      </c>
      <c r="E41" s="3" t="s">
        <v>35</v>
      </c>
      <c r="F41" s="3">
        <v>457</v>
      </c>
      <c r="G41" s="4">
        <v>6.9999999999999999E-35</v>
      </c>
      <c r="H41" s="3">
        <v>121.1</v>
      </c>
      <c r="I41" s="3">
        <v>26.9</v>
      </c>
      <c r="J41" s="3">
        <v>1</v>
      </c>
      <c r="K41" s="3">
        <v>2</v>
      </c>
      <c r="L41" s="3">
        <v>3.2000000000000001E-2</v>
      </c>
      <c r="M41" s="3">
        <v>15</v>
      </c>
      <c r="N41" s="3">
        <v>4.7</v>
      </c>
      <c r="O41" s="3">
        <v>0.5</v>
      </c>
      <c r="P41" s="3">
        <v>58</v>
      </c>
      <c r="Q41" s="3">
        <v>108</v>
      </c>
      <c r="R41" s="3">
        <v>469</v>
      </c>
      <c r="S41" s="3">
        <v>515</v>
      </c>
      <c r="T41" s="3">
        <v>461</v>
      </c>
      <c r="U41" s="3">
        <v>554</v>
      </c>
      <c r="V41" s="3">
        <v>0.74</v>
      </c>
      <c r="W41" s="3" t="s">
        <v>94</v>
      </c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 t="s">
        <v>93</v>
      </c>
      <c r="B42" s="3" t="s">
        <v>35</v>
      </c>
      <c r="C42" s="3">
        <v>1460</v>
      </c>
      <c r="D42" s="3" t="s">
        <v>36</v>
      </c>
      <c r="E42" s="3" t="s">
        <v>35</v>
      </c>
      <c r="F42" s="3">
        <v>457</v>
      </c>
      <c r="G42" s="4">
        <v>6.9999999999999999E-35</v>
      </c>
      <c r="H42" s="3">
        <v>121.1</v>
      </c>
      <c r="I42" s="3">
        <v>26.9</v>
      </c>
      <c r="J42" s="3">
        <v>2</v>
      </c>
      <c r="K42" s="3">
        <v>2</v>
      </c>
      <c r="L42" s="4">
        <v>3.1999999999999999E-37</v>
      </c>
      <c r="M42" s="4">
        <v>1.5E-34</v>
      </c>
      <c r="N42" s="3">
        <v>120</v>
      </c>
      <c r="O42" s="3">
        <v>20.2</v>
      </c>
      <c r="P42" s="3">
        <v>130</v>
      </c>
      <c r="Q42" s="3">
        <v>442</v>
      </c>
      <c r="R42" s="3">
        <v>837</v>
      </c>
      <c r="S42" s="3">
        <v>1135</v>
      </c>
      <c r="T42" s="3">
        <v>801</v>
      </c>
      <c r="U42" s="3">
        <v>1175</v>
      </c>
      <c r="V42" s="3">
        <v>0.8</v>
      </c>
      <c r="W42" s="3" t="s">
        <v>94</v>
      </c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 t="s">
        <v>95</v>
      </c>
      <c r="B43" s="3" t="s">
        <v>35</v>
      </c>
      <c r="C43" s="3">
        <v>1441</v>
      </c>
      <c r="D43" s="3" t="s">
        <v>36</v>
      </c>
      <c r="E43" s="3" t="s">
        <v>35</v>
      </c>
      <c r="F43" s="3">
        <v>457</v>
      </c>
      <c r="G43" s="4">
        <v>1.4E-34</v>
      </c>
      <c r="H43" s="3">
        <v>120.2</v>
      </c>
      <c r="I43" s="3">
        <v>22.7</v>
      </c>
      <c r="J43" s="3">
        <v>1</v>
      </c>
      <c r="K43" s="3">
        <v>2</v>
      </c>
      <c r="L43" s="3">
        <v>3.1E-2</v>
      </c>
      <c r="M43" s="3">
        <v>15</v>
      </c>
      <c r="N43" s="3">
        <v>4.7</v>
      </c>
      <c r="O43" s="3">
        <v>0.5</v>
      </c>
      <c r="P43" s="3">
        <v>58</v>
      </c>
      <c r="Q43" s="3">
        <v>108</v>
      </c>
      <c r="R43" s="3">
        <v>469</v>
      </c>
      <c r="S43" s="3">
        <v>515</v>
      </c>
      <c r="T43" s="3">
        <v>461</v>
      </c>
      <c r="U43" s="3">
        <v>554</v>
      </c>
      <c r="V43" s="3">
        <v>0.74</v>
      </c>
      <c r="W43" s="3" t="s">
        <v>96</v>
      </c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 t="s">
        <v>95</v>
      </c>
      <c r="B44" s="3" t="s">
        <v>35</v>
      </c>
      <c r="C44" s="3">
        <v>1441</v>
      </c>
      <c r="D44" s="3" t="s">
        <v>36</v>
      </c>
      <c r="E44" s="3" t="s">
        <v>35</v>
      </c>
      <c r="F44" s="3">
        <v>457</v>
      </c>
      <c r="G44" s="4">
        <v>1.4E-34</v>
      </c>
      <c r="H44" s="3">
        <v>120.2</v>
      </c>
      <c r="I44" s="3">
        <v>22.7</v>
      </c>
      <c r="J44" s="3">
        <v>2</v>
      </c>
      <c r="K44" s="3">
        <v>2</v>
      </c>
      <c r="L44" s="4">
        <v>6.5999999999999996E-37</v>
      </c>
      <c r="M44" s="4">
        <v>3.0999999999999998E-34</v>
      </c>
      <c r="N44" s="3">
        <v>119</v>
      </c>
      <c r="O44" s="3">
        <v>16</v>
      </c>
      <c r="P44" s="3">
        <v>130</v>
      </c>
      <c r="Q44" s="3">
        <v>442</v>
      </c>
      <c r="R44" s="3">
        <v>837</v>
      </c>
      <c r="S44" s="3">
        <v>1159</v>
      </c>
      <c r="T44" s="3">
        <v>801</v>
      </c>
      <c r="U44" s="3">
        <v>1206</v>
      </c>
      <c r="V44" s="3">
        <v>0.81</v>
      </c>
      <c r="W44" s="3" t="s">
        <v>96</v>
      </c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 t="s">
        <v>97</v>
      </c>
      <c r="B45" s="3" t="s">
        <v>35</v>
      </c>
      <c r="C45" s="3">
        <v>1272</v>
      </c>
      <c r="D45" s="3" t="s">
        <v>36</v>
      </c>
      <c r="E45" s="3" t="s">
        <v>35</v>
      </c>
      <c r="F45" s="3">
        <v>457</v>
      </c>
      <c r="G45" s="4">
        <v>1.6E-34</v>
      </c>
      <c r="H45" s="3">
        <v>119.9</v>
      </c>
      <c r="I45" s="3">
        <v>23.4</v>
      </c>
      <c r="J45" s="3">
        <v>1</v>
      </c>
      <c r="K45" s="3">
        <v>2</v>
      </c>
      <c r="L45" s="3">
        <v>2.7E-2</v>
      </c>
      <c r="M45" s="3">
        <v>13</v>
      </c>
      <c r="N45" s="3">
        <v>4.9000000000000004</v>
      </c>
      <c r="O45" s="3">
        <v>0.5</v>
      </c>
      <c r="P45" s="3">
        <v>58</v>
      </c>
      <c r="Q45" s="3">
        <v>108</v>
      </c>
      <c r="R45" s="3">
        <v>469</v>
      </c>
      <c r="S45" s="3">
        <v>515</v>
      </c>
      <c r="T45" s="3">
        <v>461</v>
      </c>
      <c r="U45" s="3">
        <v>554</v>
      </c>
      <c r="V45" s="3">
        <v>0.74</v>
      </c>
      <c r="W45" s="3" t="s">
        <v>98</v>
      </c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 t="s">
        <v>97</v>
      </c>
      <c r="B46" s="3" t="s">
        <v>35</v>
      </c>
      <c r="C46" s="3">
        <v>1272</v>
      </c>
      <c r="D46" s="3" t="s">
        <v>36</v>
      </c>
      <c r="E46" s="3" t="s">
        <v>35</v>
      </c>
      <c r="F46" s="3">
        <v>457</v>
      </c>
      <c r="G46" s="4">
        <v>1.6E-34</v>
      </c>
      <c r="H46" s="3">
        <v>119.9</v>
      </c>
      <c r="I46" s="3">
        <v>23.4</v>
      </c>
      <c r="J46" s="3">
        <v>2</v>
      </c>
      <c r="K46" s="3">
        <v>2</v>
      </c>
      <c r="L46" s="4">
        <v>9.4000000000000006E-37</v>
      </c>
      <c r="M46" s="4">
        <v>4.5000000000000004E-34</v>
      </c>
      <c r="N46" s="3">
        <v>118.5</v>
      </c>
      <c r="O46" s="3">
        <v>16.7</v>
      </c>
      <c r="P46" s="3">
        <v>130</v>
      </c>
      <c r="Q46" s="3">
        <v>441</v>
      </c>
      <c r="R46" s="3">
        <v>837</v>
      </c>
      <c r="S46" s="3">
        <v>1158</v>
      </c>
      <c r="T46" s="3">
        <v>801</v>
      </c>
      <c r="U46" s="3">
        <v>1195</v>
      </c>
      <c r="V46" s="3">
        <v>0.81</v>
      </c>
      <c r="W46" s="3" t="s">
        <v>98</v>
      </c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 t="s">
        <v>99</v>
      </c>
      <c r="B47" s="3" t="s">
        <v>35</v>
      </c>
      <c r="C47" s="3">
        <v>1220</v>
      </c>
      <c r="D47" s="3" t="s">
        <v>36</v>
      </c>
      <c r="E47" s="3" t="s">
        <v>35</v>
      </c>
      <c r="F47" s="3">
        <v>457</v>
      </c>
      <c r="G47" s="4">
        <v>1.7E-34</v>
      </c>
      <c r="H47" s="3">
        <v>119.9</v>
      </c>
      <c r="I47" s="3">
        <v>23.7</v>
      </c>
      <c r="J47" s="3">
        <v>1</v>
      </c>
      <c r="K47" s="3">
        <v>2</v>
      </c>
      <c r="L47" s="3">
        <v>2.5999999999999999E-2</v>
      </c>
      <c r="M47" s="3">
        <v>12</v>
      </c>
      <c r="N47" s="3">
        <v>5</v>
      </c>
      <c r="O47" s="3">
        <v>0.5</v>
      </c>
      <c r="P47" s="3">
        <v>58</v>
      </c>
      <c r="Q47" s="3">
        <v>108</v>
      </c>
      <c r="R47" s="3">
        <v>469</v>
      </c>
      <c r="S47" s="3">
        <v>515</v>
      </c>
      <c r="T47" s="3">
        <v>461</v>
      </c>
      <c r="U47" s="3">
        <v>554</v>
      </c>
      <c r="V47" s="3">
        <v>0.74</v>
      </c>
      <c r="W47" s="3" t="s">
        <v>100</v>
      </c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 t="s">
        <v>99</v>
      </c>
      <c r="B48" s="3" t="s">
        <v>35</v>
      </c>
      <c r="C48" s="3">
        <v>1220</v>
      </c>
      <c r="D48" s="3" t="s">
        <v>36</v>
      </c>
      <c r="E48" s="3" t="s">
        <v>35</v>
      </c>
      <c r="F48" s="3">
        <v>457</v>
      </c>
      <c r="G48" s="4">
        <v>1.7E-34</v>
      </c>
      <c r="H48" s="3">
        <v>119.9</v>
      </c>
      <c r="I48" s="3">
        <v>23.7</v>
      </c>
      <c r="J48" s="3">
        <v>2</v>
      </c>
      <c r="K48" s="3">
        <v>2</v>
      </c>
      <c r="L48" s="4">
        <v>9.9999999999999994E-37</v>
      </c>
      <c r="M48" s="4">
        <v>4.7999999999999998E-34</v>
      </c>
      <c r="N48" s="3">
        <v>118.4</v>
      </c>
      <c r="O48" s="3">
        <v>17</v>
      </c>
      <c r="P48" s="3">
        <v>130</v>
      </c>
      <c r="Q48" s="3">
        <v>442</v>
      </c>
      <c r="R48" s="3">
        <v>837</v>
      </c>
      <c r="S48" s="3">
        <v>1159</v>
      </c>
      <c r="T48" s="3">
        <v>801</v>
      </c>
      <c r="U48" s="3">
        <v>1194</v>
      </c>
      <c r="V48" s="3">
        <v>0.81</v>
      </c>
      <c r="W48" s="3" t="s">
        <v>100</v>
      </c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 t="s">
        <v>101</v>
      </c>
      <c r="B49" s="3" t="s">
        <v>35</v>
      </c>
      <c r="C49" s="3">
        <v>1229</v>
      </c>
      <c r="D49" s="3" t="s">
        <v>36</v>
      </c>
      <c r="E49" s="3" t="s">
        <v>35</v>
      </c>
      <c r="F49" s="3">
        <v>457</v>
      </c>
      <c r="G49" s="4">
        <v>1.8E-34</v>
      </c>
      <c r="H49" s="3">
        <v>119.8</v>
      </c>
      <c r="I49" s="3">
        <v>23.7</v>
      </c>
      <c r="J49" s="3">
        <v>1</v>
      </c>
      <c r="K49" s="3">
        <v>2</v>
      </c>
      <c r="L49" s="3">
        <v>2.5999999999999999E-2</v>
      </c>
      <c r="M49" s="3">
        <v>12</v>
      </c>
      <c r="N49" s="3">
        <v>4.9000000000000004</v>
      </c>
      <c r="O49" s="3">
        <v>0.5</v>
      </c>
      <c r="P49" s="3">
        <v>58</v>
      </c>
      <c r="Q49" s="3">
        <v>108</v>
      </c>
      <c r="R49" s="3">
        <v>469</v>
      </c>
      <c r="S49" s="3">
        <v>515</v>
      </c>
      <c r="T49" s="3">
        <v>461</v>
      </c>
      <c r="U49" s="3">
        <v>554</v>
      </c>
      <c r="V49" s="3">
        <v>0.74</v>
      </c>
      <c r="W49" s="3" t="s">
        <v>102</v>
      </c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 t="s">
        <v>101</v>
      </c>
      <c r="B50" s="3" t="s">
        <v>35</v>
      </c>
      <c r="C50" s="3">
        <v>1229</v>
      </c>
      <c r="D50" s="3" t="s">
        <v>36</v>
      </c>
      <c r="E50" s="3" t="s">
        <v>35</v>
      </c>
      <c r="F50" s="3">
        <v>457</v>
      </c>
      <c r="G50" s="4">
        <v>1.8E-34</v>
      </c>
      <c r="H50" s="3">
        <v>119.8</v>
      </c>
      <c r="I50" s="3">
        <v>23.7</v>
      </c>
      <c r="J50" s="3">
        <v>2</v>
      </c>
      <c r="K50" s="3">
        <v>2</v>
      </c>
      <c r="L50" s="4">
        <v>1.1E-36</v>
      </c>
      <c r="M50" s="4">
        <v>5.1999999999999999E-34</v>
      </c>
      <c r="N50" s="3">
        <v>118.3</v>
      </c>
      <c r="O50" s="3">
        <v>17.100000000000001</v>
      </c>
      <c r="P50" s="3">
        <v>130</v>
      </c>
      <c r="Q50" s="3">
        <v>442</v>
      </c>
      <c r="R50" s="3">
        <v>837</v>
      </c>
      <c r="S50" s="3">
        <v>1159</v>
      </c>
      <c r="T50" s="3">
        <v>801</v>
      </c>
      <c r="U50" s="3">
        <v>1196</v>
      </c>
      <c r="V50" s="3">
        <v>0.81</v>
      </c>
      <c r="W50" s="3" t="s">
        <v>102</v>
      </c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 t="s">
        <v>103</v>
      </c>
      <c r="B51" s="3" t="s">
        <v>35</v>
      </c>
      <c r="C51" s="3">
        <v>1202</v>
      </c>
      <c r="D51" s="3" t="s">
        <v>36</v>
      </c>
      <c r="E51" s="3" t="s">
        <v>35</v>
      </c>
      <c r="F51" s="3">
        <v>457</v>
      </c>
      <c r="G51" s="4">
        <v>2.3999999999999999E-34</v>
      </c>
      <c r="H51" s="3">
        <v>119.4</v>
      </c>
      <c r="I51" s="3">
        <v>24.1</v>
      </c>
      <c r="J51" s="3">
        <v>1</v>
      </c>
      <c r="K51" s="3">
        <v>2</v>
      </c>
      <c r="L51" s="3">
        <v>2.5000000000000001E-2</v>
      </c>
      <c r="M51" s="3">
        <v>12</v>
      </c>
      <c r="N51" s="3">
        <v>5</v>
      </c>
      <c r="O51" s="3">
        <v>0.5</v>
      </c>
      <c r="P51" s="3">
        <v>58</v>
      </c>
      <c r="Q51" s="3">
        <v>108</v>
      </c>
      <c r="R51" s="3">
        <v>469</v>
      </c>
      <c r="S51" s="3">
        <v>515</v>
      </c>
      <c r="T51" s="3">
        <v>461</v>
      </c>
      <c r="U51" s="3">
        <v>554</v>
      </c>
      <c r="V51" s="3">
        <v>0.74</v>
      </c>
      <c r="W51" s="3" t="s">
        <v>104</v>
      </c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 t="s">
        <v>103</v>
      </c>
      <c r="B52" s="3" t="s">
        <v>35</v>
      </c>
      <c r="C52" s="3">
        <v>1202</v>
      </c>
      <c r="D52" s="3" t="s">
        <v>36</v>
      </c>
      <c r="E52" s="3" t="s">
        <v>35</v>
      </c>
      <c r="F52" s="3">
        <v>457</v>
      </c>
      <c r="G52" s="4">
        <v>2.3999999999999999E-34</v>
      </c>
      <c r="H52" s="3">
        <v>119.4</v>
      </c>
      <c r="I52" s="3">
        <v>24.1</v>
      </c>
      <c r="J52" s="3">
        <v>2</v>
      </c>
      <c r="K52" s="3">
        <v>2</v>
      </c>
      <c r="L52" s="4">
        <v>1.4000000000000001E-36</v>
      </c>
      <c r="M52" s="4">
        <v>6.8000000000000001E-34</v>
      </c>
      <c r="N52" s="3">
        <v>117.9</v>
      </c>
      <c r="O52" s="3">
        <v>17.399999999999999</v>
      </c>
      <c r="P52" s="3">
        <v>130</v>
      </c>
      <c r="Q52" s="3">
        <v>441</v>
      </c>
      <c r="R52" s="3">
        <v>837</v>
      </c>
      <c r="S52" s="3">
        <v>1158</v>
      </c>
      <c r="T52" s="3">
        <v>801</v>
      </c>
      <c r="U52" s="3">
        <v>1186</v>
      </c>
      <c r="V52" s="3">
        <v>0.81</v>
      </c>
      <c r="W52" s="3" t="s">
        <v>104</v>
      </c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 t="s">
        <v>105</v>
      </c>
      <c r="B53" s="3" t="s">
        <v>35</v>
      </c>
      <c r="C53" s="3">
        <v>1484</v>
      </c>
      <c r="D53" s="3" t="s">
        <v>36</v>
      </c>
      <c r="E53" s="3" t="s">
        <v>35</v>
      </c>
      <c r="F53" s="3">
        <v>457</v>
      </c>
      <c r="G53" s="4">
        <v>3.8999999999999999E-34</v>
      </c>
      <c r="H53" s="3">
        <v>118.7</v>
      </c>
      <c r="I53" s="3">
        <v>24</v>
      </c>
      <c r="J53" s="3">
        <v>1</v>
      </c>
      <c r="K53" s="3">
        <v>2</v>
      </c>
      <c r="L53" s="3">
        <v>3.2000000000000001E-2</v>
      </c>
      <c r="M53" s="3">
        <v>15</v>
      </c>
      <c r="N53" s="3">
        <v>4.5999999999999996</v>
      </c>
      <c r="O53" s="3">
        <v>0.5</v>
      </c>
      <c r="P53" s="3">
        <v>58</v>
      </c>
      <c r="Q53" s="3">
        <v>108</v>
      </c>
      <c r="R53" s="3">
        <v>469</v>
      </c>
      <c r="S53" s="3">
        <v>515</v>
      </c>
      <c r="T53" s="3">
        <v>461</v>
      </c>
      <c r="U53" s="3">
        <v>554</v>
      </c>
      <c r="V53" s="3">
        <v>0.74</v>
      </c>
      <c r="W53" s="3" t="s">
        <v>106</v>
      </c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 t="s">
        <v>105</v>
      </c>
      <c r="B54" s="3" t="s">
        <v>35</v>
      </c>
      <c r="C54" s="3">
        <v>1484</v>
      </c>
      <c r="D54" s="3" t="s">
        <v>36</v>
      </c>
      <c r="E54" s="3" t="s">
        <v>35</v>
      </c>
      <c r="F54" s="3">
        <v>457</v>
      </c>
      <c r="G54" s="4">
        <v>3.8999999999999999E-34</v>
      </c>
      <c r="H54" s="3">
        <v>118.7</v>
      </c>
      <c r="I54" s="3">
        <v>24</v>
      </c>
      <c r="J54" s="3">
        <v>2</v>
      </c>
      <c r="K54" s="3">
        <v>2</v>
      </c>
      <c r="L54" s="4">
        <v>1.8000000000000002E-36</v>
      </c>
      <c r="M54" s="4">
        <v>8.4000000000000003E-34</v>
      </c>
      <c r="N54" s="3">
        <v>117.6</v>
      </c>
      <c r="O54" s="3">
        <v>17.3</v>
      </c>
      <c r="P54" s="3">
        <v>130</v>
      </c>
      <c r="Q54" s="3">
        <v>442</v>
      </c>
      <c r="R54" s="3">
        <v>837</v>
      </c>
      <c r="S54" s="3">
        <v>1159</v>
      </c>
      <c r="T54" s="3">
        <v>801</v>
      </c>
      <c r="U54" s="3">
        <v>1199</v>
      </c>
      <c r="V54" s="3">
        <v>0.81</v>
      </c>
      <c r="W54" s="3" t="s">
        <v>106</v>
      </c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 t="s">
        <v>107</v>
      </c>
      <c r="B55" s="3" t="s">
        <v>35</v>
      </c>
      <c r="C55" s="3">
        <v>1484</v>
      </c>
      <c r="D55" s="3" t="s">
        <v>36</v>
      </c>
      <c r="E55" s="3" t="s">
        <v>35</v>
      </c>
      <c r="F55" s="3">
        <v>457</v>
      </c>
      <c r="G55" s="4">
        <v>3.8999999999999999E-34</v>
      </c>
      <c r="H55" s="3">
        <v>118.7</v>
      </c>
      <c r="I55" s="3">
        <v>24</v>
      </c>
      <c r="J55" s="3">
        <v>1</v>
      </c>
      <c r="K55" s="3">
        <v>2</v>
      </c>
      <c r="L55" s="3">
        <v>3.2000000000000001E-2</v>
      </c>
      <c r="M55" s="3">
        <v>15</v>
      </c>
      <c r="N55" s="3">
        <v>4.5999999999999996</v>
      </c>
      <c r="O55" s="3">
        <v>0.5</v>
      </c>
      <c r="P55" s="3">
        <v>58</v>
      </c>
      <c r="Q55" s="3">
        <v>108</v>
      </c>
      <c r="R55" s="3">
        <v>469</v>
      </c>
      <c r="S55" s="3">
        <v>515</v>
      </c>
      <c r="T55" s="3">
        <v>461</v>
      </c>
      <c r="U55" s="3">
        <v>554</v>
      </c>
      <c r="V55" s="3">
        <v>0.74</v>
      </c>
      <c r="W55" s="3" t="s">
        <v>106</v>
      </c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 t="s">
        <v>107</v>
      </c>
      <c r="B56" s="3" t="s">
        <v>35</v>
      </c>
      <c r="C56" s="3">
        <v>1484</v>
      </c>
      <c r="D56" s="3" t="s">
        <v>36</v>
      </c>
      <c r="E56" s="3" t="s">
        <v>35</v>
      </c>
      <c r="F56" s="3">
        <v>457</v>
      </c>
      <c r="G56" s="4">
        <v>3.8999999999999999E-34</v>
      </c>
      <c r="H56" s="3">
        <v>118.7</v>
      </c>
      <c r="I56" s="3">
        <v>24</v>
      </c>
      <c r="J56" s="3">
        <v>2</v>
      </c>
      <c r="K56" s="3">
        <v>2</v>
      </c>
      <c r="L56" s="4">
        <v>1.8000000000000002E-36</v>
      </c>
      <c r="M56" s="4">
        <v>8.4000000000000003E-34</v>
      </c>
      <c r="N56" s="3">
        <v>117.6</v>
      </c>
      <c r="O56" s="3">
        <v>17.3</v>
      </c>
      <c r="P56" s="3">
        <v>130</v>
      </c>
      <c r="Q56" s="3">
        <v>442</v>
      </c>
      <c r="R56" s="3">
        <v>837</v>
      </c>
      <c r="S56" s="3">
        <v>1159</v>
      </c>
      <c r="T56" s="3">
        <v>801</v>
      </c>
      <c r="U56" s="3">
        <v>1199</v>
      </c>
      <c r="V56" s="3">
        <v>0.81</v>
      </c>
      <c r="W56" s="3" t="s">
        <v>106</v>
      </c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 t="s">
        <v>108</v>
      </c>
      <c r="B57" s="3" t="s">
        <v>35</v>
      </c>
      <c r="C57" s="3">
        <v>3038</v>
      </c>
      <c r="D57" s="3" t="s">
        <v>36</v>
      </c>
      <c r="E57" s="3" t="s">
        <v>35</v>
      </c>
      <c r="F57" s="3">
        <v>457</v>
      </c>
      <c r="G57" s="4">
        <v>5.5000000000000001E-34</v>
      </c>
      <c r="H57" s="3">
        <v>118.2</v>
      </c>
      <c r="I57" s="3">
        <v>30.4</v>
      </c>
      <c r="J57" s="3">
        <v>1</v>
      </c>
      <c r="K57" s="3">
        <v>2</v>
      </c>
      <c r="L57" s="3">
        <v>5.1000000000000004E-3</v>
      </c>
      <c r="M57" s="3">
        <v>2.4</v>
      </c>
      <c r="N57" s="3">
        <v>7.3</v>
      </c>
      <c r="O57" s="3">
        <v>7.6</v>
      </c>
      <c r="P57" s="3">
        <v>42</v>
      </c>
      <c r="Q57" s="3">
        <v>128</v>
      </c>
      <c r="R57" s="3">
        <v>2022</v>
      </c>
      <c r="S57" s="3">
        <v>2106</v>
      </c>
      <c r="T57" s="3">
        <v>1999</v>
      </c>
      <c r="U57" s="3">
        <v>2131</v>
      </c>
      <c r="V57" s="3">
        <v>0.75</v>
      </c>
      <c r="W57" s="3" t="s">
        <v>109</v>
      </c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 t="s">
        <v>108</v>
      </c>
      <c r="B58" s="3" t="s">
        <v>35</v>
      </c>
      <c r="C58" s="3">
        <v>3038</v>
      </c>
      <c r="D58" s="3" t="s">
        <v>36</v>
      </c>
      <c r="E58" s="3" t="s">
        <v>35</v>
      </c>
      <c r="F58" s="3">
        <v>457</v>
      </c>
      <c r="G58" s="4">
        <v>5.5000000000000001E-34</v>
      </c>
      <c r="H58" s="3">
        <v>118.2</v>
      </c>
      <c r="I58" s="3">
        <v>30.4</v>
      </c>
      <c r="J58" s="3">
        <v>2</v>
      </c>
      <c r="K58" s="3">
        <v>2</v>
      </c>
      <c r="L58" s="4">
        <v>4.5999999999999999E-36</v>
      </c>
      <c r="M58" s="4">
        <v>2.2000000000000001E-33</v>
      </c>
      <c r="N58" s="3">
        <v>116.2</v>
      </c>
      <c r="O58" s="3">
        <v>14.8</v>
      </c>
      <c r="P58" s="3">
        <v>121</v>
      </c>
      <c r="Q58" s="3">
        <v>424</v>
      </c>
      <c r="R58" s="3">
        <v>2436</v>
      </c>
      <c r="S58" s="3">
        <v>2724</v>
      </c>
      <c r="T58" s="3">
        <v>2414</v>
      </c>
      <c r="U58" s="3">
        <v>2764</v>
      </c>
      <c r="V58" s="3">
        <v>0.83</v>
      </c>
      <c r="W58" s="3" t="s">
        <v>109</v>
      </c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 t="s">
        <v>110</v>
      </c>
      <c r="B59" s="3" t="s">
        <v>35</v>
      </c>
      <c r="C59" s="3">
        <v>1469</v>
      </c>
      <c r="D59" s="3" t="s">
        <v>36</v>
      </c>
      <c r="E59" s="3" t="s">
        <v>35</v>
      </c>
      <c r="F59" s="3">
        <v>457</v>
      </c>
      <c r="G59" s="4">
        <v>3.7000000000000001E-33</v>
      </c>
      <c r="H59" s="3">
        <v>115.5</v>
      </c>
      <c r="I59" s="3">
        <v>22.4</v>
      </c>
      <c r="J59" s="3">
        <v>1</v>
      </c>
      <c r="K59" s="3">
        <v>2</v>
      </c>
      <c r="L59" s="3">
        <v>8.4000000000000005E-2</v>
      </c>
      <c r="M59" s="3">
        <v>40</v>
      </c>
      <c r="N59" s="3">
        <v>3.3</v>
      </c>
      <c r="O59" s="3">
        <v>0.1</v>
      </c>
      <c r="P59" s="3">
        <v>57</v>
      </c>
      <c r="Q59" s="3">
        <v>107</v>
      </c>
      <c r="R59" s="3">
        <v>471</v>
      </c>
      <c r="S59" s="3">
        <v>517</v>
      </c>
      <c r="T59" s="3">
        <v>458</v>
      </c>
      <c r="U59" s="3">
        <v>560</v>
      </c>
      <c r="V59" s="3">
        <v>0.72</v>
      </c>
      <c r="W59" s="3" t="s">
        <v>111</v>
      </c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 t="s">
        <v>110</v>
      </c>
      <c r="B60" s="3" t="s">
        <v>35</v>
      </c>
      <c r="C60" s="3">
        <v>1469</v>
      </c>
      <c r="D60" s="3" t="s">
        <v>36</v>
      </c>
      <c r="E60" s="3" t="s">
        <v>35</v>
      </c>
      <c r="F60" s="3">
        <v>457</v>
      </c>
      <c r="G60" s="4">
        <v>3.7000000000000001E-33</v>
      </c>
      <c r="H60" s="3">
        <v>115.5</v>
      </c>
      <c r="I60" s="3">
        <v>22.4</v>
      </c>
      <c r="J60" s="3">
        <v>2</v>
      </c>
      <c r="K60" s="3">
        <v>2</v>
      </c>
      <c r="L60" s="4">
        <v>2.4999999999999998E-35</v>
      </c>
      <c r="M60" s="4">
        <v>1.2000000000000001E-32</v>
      </c>
      <c r="N60" s="3">
        <v>113.8</v>
      </c>
      <c r="O60" s="3">
        <v>17.7</v>
      </c>
      <c r="P60" s="3">
        <v>135</v>
      </c>
      <c r="Q60" s="3">
        <v>437</v>
      </c>
      <c r="R60" s="3">
        <v>845</v>
      </c>
      <c r="S60" s="3">
        <v>1133</v>
      </c>
      <c r="T60" s="3">
        <v>801</v>
      </c>
      <c r="U60" s="3">
        <v>1172</v>
      </c>
      <c r="V60" s="3">
        <v>0.81</v>
      </c>
      <c r="W60" s="3" t="s">
        <v>111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 t="s">
        <v>112</v>
      </c>
      <c r="B61" s="3" t="s">
        <v>35</v>
      </c>
      <c r="C61" s="3">
        <v>956</v>
      </c>
      <c r="D61" s="3" t="s">
        <v>36</v>
      </c>
      <c r="E61" s="3" t="s">
        <v>35</v>
      </c>
      <c r="F61" s="3">
        <v>457</v>
      </c>
      <c r="G61" s="4">
        <v>9.0999999999999996E-32</v>
      </c>
      <c r="H61" s="3">
        <v>110.9</v>
      </c>
      <c r="I61" s="3">
        <v>23.2</v>
      </c>
      <c r="J61" s="3">
        <v>1</v>
      </c>
      <c r="K61" s="3">
        <v>2</v>
      </c>
      <c r="L61" s="3">
        <v>4</v>
      </c>
      <c r="M61" s="4">
        <v>1900</v>
      </c>
      <c r="N61" s="3">
        <v>-2.2999999999999998</v>
      </c>
      <c r="O61" s="3">
        <v>1.6</v>
      </c>
      <c r="P61" s="3">
        <v>403</v>
      </c>
      <c r="Q61" s="3">
        <v>441</v>
      </c>
      <c r="R61" s="3">
        <v>29</v>
      </c>
      <c r="S61" s="3">
        <v>67</v>
      </c>
      <c r="T61" s="3">
        <v>23</v>
      </c>
      <c r="U61" s="3">
        <v>104</v>
      </c>
      <c r="V61" s="3">
        <v>0.71</v>
      </c>
      <c r="W61" s="3" t="s">
        <v>113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 t="s">
        <v>112</v>
      </c>
      <c r="B62" s="3" t="s">
        <v>35</v>
      </c>
      <c r="C62" s="3">
        <v>956</v>
      </c>
      <c r="D62" s="3" t="s">
        <v>36</v>
      </c>
      <c r="E62" s="3" t="s">
        <v>35</v>
      </c>
      <c r="F62" s="3">
        <v>457</v>
      </c>
      <c r="G62" s="4">
        <v>9.0999999999999996E-32</v>
      </c>
      <c r="H62" s="3">
        <v>110.9</v>
      </c>
      <c r="I62" s="3">
        <v>23.2</v>
      </c>
      <c r="J62" s="3">
        <v>2</v>
      </c>
      <c r="K62" s="3">
        <v>2</v>
      </c>
      <c r="L62" s="4">
        <v>1.9000000000000001E-34</v>
      </c>
      <c r="M62" s="4">
        <v>9.0999999999999996E-32</v>
      </c>
      <c r="N62" s="3">
        <v>110.9</v>
      </c>
      <c r="O62" s="3">
        <v>23.2</v>
      </c>
      <c r="P62" s="3">
        <v>98</v>
      </c>
      <c r="Q62" s="3">
        <v>424</v>
      </c>
      <c r="R62" s="3">
        <v>617</v>
      </c>
      <c r="S62" s="3">
        <v>939</v>
      </c>
      <c r="T62" s="3">
        <v>601</v>
      </c>
      <c r="U62" s="3">
        <v>955</v>
      </c>
      <c r="V62" s="3">
        <v>0.81</v>
      </c>
      <c r="W62" s="3" t="s">
        <v>113</v>
      </c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 t="s">
        <v>114</v>
      </c>
      <c r="B63" s="3" t="s">
        <v>35</v>
      </c>
      <c r="C63" s="3">
        <v>952</v>
      </c>
      <c r="D63" s="3" t="s">
        <v>36</v>
      </c>
      <c r="E63" s="3" t="s">
        <v>35</v>
      </c>
      <c r="F63" s="3">
        <v>457</v>
      </c>
      <c r="G63" s="4">
        <v>1.0000000000000001E-31</v>
      </c>
      <c r="H63" s="3">
        <v>110.7</v>
      </c>
      <c r="I63" s="3">
        <v>28.1</v>
      </c>
      <c r="J63" s="3">
        <v>1</v>
      </c>
      <c r="K63" s="3">
        <v>1</v>
      </c>
      <c r="L63" s="4">
        <v>5.8000000000000004E-34</v>
      </c>
      <c r="M63" s="4">
        <v>2.7000000000000001E-31</v>
      </c>
      <c r="N63" s="3">
        <v>109.3</v>
      </c>
      <c r="O63" s="3">
        <v>28.1</v>
      </c>
      <c r="P63" s="3">
        <v>101</v>
      </c>
      <c r="Q63" s="3">
        <v>406</v>
      </c>
      <c r="R63" s="3">
        <v>641</v>
      </c>
      <c r="S63" s="3">
        <v>939</v>
      </c>
      <c r="T63" s="3">
        <v>624</v>
      </c>
      <c r="U63" s="3">
        <v>945</v>
      </c>
      <c r="V63" s="3">
        <v>0.83</v>
      </c>
      <c r="W63" s="3" t="s">
        <v>115</v>
      </c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 t="s">
        <v>116</v>
      </c>
      <c r="B64" s="3" t="s">
        <v>35</v>
      </c>
      <c r="C64" s="3">
        <v>630</v>
      </c>
      <c r="D64" s="3" t="s">
        <v>36</v>
      </c>
      <c r="E64" s="3" t="s">
        <v>35</v>
      </c>
      <c r="F64" s="3">
        <v>457</v>
      </c>
      <c r="G64" s="4">
        <v>5.2999999999999997E-30</v>
      </c>
      <c r="H64" s="3">
        <v>105</v>
      </c>
      <c r="I64" s="3">
        <v>18.600000000000001</v>
      </c>
      <c r="J64" s="3">
        <v>1</v>
      </c>
      <c r="K64" s="3">
        <v>1</v>
      </c>
      <c r="L64" s="4">
        <v>1.1E-32</v>
      </c>
      <c r="M64" s="4">
        <v>5.2999999999999997E-30</v>
      </c>
      <c r="N64" s="3">
        <v>105</v>
      </c>
      <c r="O64" s="3">
        <v>18.600000000000001</v>
      </c>
      <c r="P64" s="3">
        <v>102</v>
      </c>
      <c r="Q64" s="3">
        <v>432</v>
      </c>
      <c r="R64" s="3">
        <v>295</v>
      </c>
      <c r="S64" s="3">
        <v>621</v>
      </c>
      <c r="T64" s="3">
        <v>276</v>
      </c>
      <c r="U64" s="3">
        <v>630</v>
      </c>
      <c r="V64" s="3">
        <v>0.79</v>
      </c>
      <c r="W64" s="3" t="s">
        <v>117</v>
      </c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 t="s">
        <v>118</v>
      </c>
      <c r="B65" s="3" t="s">
        <v>35</v>
      </c>
      <c r="C65" s="3">
        <v>752</v>
      </c>
      <c r="D65" s="3" t="s">
        <v>36</v>
      </c>
      <c r="E65" s="3" t="s">
        <v>35</v>
      </c>
      <c r="F65" s="3">
        <v>457</v>
      </c>
      <c r="G65" s="4">
        <v>9.0999999999999999E-25</v>
      </c>
      <c r="H65" s="3">
        <v>87.8</v>
      </c>
      <c r="I65" s="3">
        <v>14</v>
      </c>
      <c r="J65" s="3">
        <v>1</v>
      </c>
      <c r="K65" s="3">
        <v>1</v>
      </c>
      <c r="L65" s="4">
        <v>3.3999999999999997E-27</v>
      </c>
      <c r="M65" s="4">
        <v>1.6000000000000001E-24</v>
      </c>
      <c r="N65" s="3">
        <v>87</v>
      </c>
      <c r="O65" s="3">
        <v>14</v>
      </c>
      <c r="P65" s="3">
        <v>141</v>
      </c>
      <c r="Q65" s="3">
        <v>448</v>
      </c>
      <c r="R65" s="3">
        <v>367</v>
      </c>
      <c r="S65" s="3">
        <v>676</v>
      </c>
      <c r="T65" s="3">
        <v>360</v>
      </c>
      <c r="U65" s="3">
        <v>740</v>
      </c>
      <c r="V65" s="3">
        <v>0.85</v>
      </c>
      <c r="W65" s="3" t="s">
        <v>119</v>
      </c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 t="s">
        <v>120</v>
      </c>
      <c r="B66" s="3" t="s">
        <v>35</v>
      </c>
      <c r="C66" s="3">
        <v>3039</v>
      </c>
      <c r="D66" s="3" t="s">
        <v>36</v>
      </c>
      <c r="E66" s="3" t="s">
        <v>35</v>
      </c>
      <c r="F66" s="3">
        <v>457</v>
      </c>
      <c r="G66" s="4">
        <v>1.7E-24</v>
      </c>
      <c r="H66" s="3">
        <v>86.9</v>
      </c>
      <c r="I66" s="3">
        <v>7.4</v>
      </c>
      <c r="J66" s="3">
        <v>1</v>
      </c>
      <c r="K66" s="3">
        <v>3</v>
      </c>
      <c r="L66" s="3">
        <v>8.6999999999999993</v>
      </c>
      <c r="M66" s="4">
        <v>4100</v>
      </c>
      <c r="N66" s="3">
        <v>-3.4</v>
      </c>
      <c r="O66" s="3">
        <v>4.2</v>
      </c>
      <c r="P66" s="3">
        <v>53</v>
      </c>
      <c r="Q66" s="3">
        <v>69</v>
      </c>
      <c r="R66" s="3">
        <v>1896</v>
      </c>
      <c r="S66" s="3">
        <v>1912</v>
      </c>
      <c r="T66" s="3">
        <v>1872</v>
      </c>
      <c r="U66" s="3">
        <v>1928</v>
      </c>
      <c r="V66" s="3">
        <v>0.87</v>
      </c>
      <c r="W66" s="3" t="s">
        <v>121</v>
      </c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 t="s">
        <v>120</v>
      </c>
      <c r="B67" s="3" t="s">
        <v>35</v>
      </c>
      <c r="C67" s="3">
        <v>3039</v>
      </c>
      <c r="D67" s="3" t="s">
        <v>36</v>
      </c>
      <c r="E67" s="3" t="s">
        <v>35</v>
      </c>
      <c r="F67" s="3">
        <v>457</v>
      </c>
      <c r="G67" s="4">
        <v>1.7E-24</v>
      </c>
      <c r="H67" s="3">
        <v>86.9</v>
      </c>
      <c r="I67" s="3">
        <v>7.4</v>
      </c>
      <c r="J67" s="3">
        <v>2</v>
      </c>
      <c r="K67" s="3">
        <v>3</v>
      </c>
      <c r="L67" s="3">
        <v>0.19</v>
      </c>
      <c r="M67" s="3">
        <v>92</v>
      </c>
      <c r="N67" s="3">
        <v>2.1</v>
      </c>
      <c r="O67" s="3">
        <v>2</v>
      </c>
      <c r="P67" s="3">
        <v>58</v>
      </c>
      <c r="Q67" s="3">
        <v>110</v>
      </c>
      <c r="R67" s="3">
        <v>2069</v>
      </c>
      <c r="S67" s="3">
        <v>2116</v>
      </c>
      <c r="T67" s="3">
        <v>2034</v>
      </c>
      <c r="U67" s="3">
        <v>2146</v>
      </c>
      <c r="V67" s="3">
        <v>0.83</v>
      </c>
      <c r="W67" s="3" t="s">
        <v>121</v>
      </c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 t="s">
        <v>120</v>
      </c>
      <c r="B68" s="3" t="s">
        <v>35</v>
      </c>
      <c r="C68" s="3">
        <v>3039</v>
      </c>
      <c r="D68" s="3" t="s">
        <v>36</v>
      </c>
      <c r="E68" s="3" t="s">
        <v>35</v>
      </c>
      <c r="F68" s="3">
        <v>457</v>
      </c>
      <c r="G68" s="4">
        <v>1.7E-24</v>
      </c>
      <c r="H68" s="3">
        <v>86.9</v>
      </c>
      <c r="I68" s="3">
        <v>7.4</v>
      </c>
      <c r="J68" s="3">
        <v>3</v>
      </c>
      <c r="K68" s="3">
        <v>3</v>
      </c>
      <c r="L68" s="4">
        <v>3.5000000000000001E-27</v>
      </c>
      <c r="M68" s="4">
        <v>1.7E-24</v>
      </c>
      <c r="N68" s="3">
        <v>86.9</v>
      </c>
      <c r="O68" s="3">
        <v>7.4</v>
      </c>
      <c r="P68" s="3">
        <v>129</v>
      </c>
      <c r="Q68" s="3">
        <v>424</v>
      </c>
      <c r="R68" s="3">
        <v>2454</v>
      </c>
      <c r="S68" s="3">
        <v>2734</v>
      </c>
      <c r="T68" s="3">
        <v>2427</v>
      </c>
      <c r="U68" s="3">
        <v>2756</v>
      </c>
      <c r="V68" s="3">
        <v>0.86</v>
      </c>
      <c r="W68" s="3" t="s">
        <v>121</v>
      </c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 t="s">
        <v>122</v>
      </c>
      <c r="B69" s="3" t="s">
        <v>35</v>
      </c>
      <c r="C69" s="3">
        <v>625</v>
      </c>
      <c r="D69" s="3" t="s">
        <v>36</v>
      </c>
      <c r="E69" s="3" t="s">
        <v>35</v>
      </c>
      <c r="F69" s="3">
        <v>457</v>
      </c>
      <c r="G69" s="4">
        <v>1.9999999999999999E-23</v>
      </c>
      <c r="H69" s="3">
        <v>83.4</v>
      </c>
      <c r="I69" s="3">
        <v>9.8000000000000007</v>
      </c>
      <c r="J69" s="3">
        <v>1</v>
      </c>
      <c r="K69" s="3">
        <v>1</v>
      </c>
      <c r="L69" s="4">
        <v>7.8999999999999994E-26</v>
      </c>
      <c r="M69" s="4">
        <v>3.8000000000000001E-23</v>
      </c>
      <c r="N69" s="3">
        <v>82.5</v>
      </c>
      <c r="O69" s="3">
        <v>9.8000000000000007</v>
      </c>
      <c r="P69" s="3">
        <v>145</v>
      </c>
      <c r="Q69" s="3">
        <v>416</v>
      </c>
      <c r="R69" s="3">
        <v>11</v>
      </c>
      <c r="S69" s="3">
        <v>267</v>
      </c>
      <c r="T69" s="3">
        <v>2</v>
      </c>
      <c r="U69" s="3">
        <v>302</v>
      </c>
      <c r="V69" s="3">
        <v>0.83</v>
      </c>
      <c r="W69" s="3" t="s">
        <v>123</v>
      </c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 t="s">
        <v>124</v>
      </c>
      <c r="B70" s="3" t="s">
        <v>35</v>
      </c>
      <c r="C70" s="3">
        <v>590</v>
      </c>
      <c r="D70" s="3" t="s">
        <v>36</v>
      </c>
      <c r="E70" s="3" t="s">
        <v>35</v>
      </c>
      <c r="F70" s="3">
        <v>457</v>
      </c>
      <c r="G70" s="4">
        <v>5.3999999999999997E-23</v>
      </c>
      <c r="H70" s="3">
        <v>81.900000000000006</v>
      </c>
      <c r="I70" s="3">
        <v>14.4</v>
      </c>
      <c r="J70" s="3">
        <v>1</v>
      </c>
      <c r="K70" s="3">
        <v>1</v>
      </c>
      <c r="L70" s="4">
        <v>1.6000000000000001E-25</v>
      </c>
      <c r="M70" s="4">
        <v>7.4999999999999998E-23</v>
      </c>
      <c r="N70" s="3">
        <v>81.5</v>
      </c>
      <c r="O70" s="3">
        <v>14.4</v>
      </c>
      <c r="P70" s="3">
        <v>103</v>
      </c>
      <c r="Q70" s="3">
        <v>436</v>
      </c>
      <c r="R70" s="3">
        <v>249</v>
      </c>
      <c r="S70" s="3">
        <v>585</v>
      </c>
      <c r="T70" s="3">
        <v>247</v>
      </c>
      <c r="U70" s="3">
        <v>590</v>
      </c>
      <c r="V70" s="3">
        <v>0.8</v>
      </c>
      <c r="W70" s="3" t="s">
        <v>125</v>
      </c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 t="s">
        <v>126</v>
      </c>
      <c r="B71" s="3" t="s">
        <v>35</v>
      </c>
      <c r="C71" s="3">
        <v>1206</v>
      </c>
      <c r="D71" s="3" t="s">
        <v>36</v>
      </c>
      <c r="E71" s="3" t="s">
        <v>35</v>
      </c>
      <c r="F71" s="3">
        <v>457</v>
      </c>
      <c r="G71" s="4">
        <v>1.3E-22</v>
      </c>
      <c r="H71" s="3">
        <v>80.7</v>
      </c>
      <c r="I71" s="3">
        <v>11.6</v>
      </c>
      <c r="J71" s="3">
        <v>1</v>
      </c>
      <c r="K71" s="3">
        <v>1</v>
      </c>
      <c r="L71" s="4">
        <v>6.1999999999999999E-25</v>
      </c>
      <c r="M71" s="4">
        <v>2.9000000000000002E-22</v>
      </c>
      <c r="N71" s="3">
        <v>79.5</v>
      </c>
      <c r="O71" s="3">
        <v>11.6</v>
      </c>
      <c r="P71" s="3">
        <v>121</v>
      </c>
      <c r="Q71" s="3">
        <v>436</v>
      </c>
      <c r="R71" s="3">
        <v>844</v>
      </c>
      <c r="S71" s="3">
        <v>1171</v>
      </c>
      <c r="T71" s="3">
        <v>820</v>
      </c>
      <c r="U71" s="3">
        <v>1194</v>
      </c>
      <c r="V71" s="3">
        <v>0.74</v>
      </c>
      <c r="W71" s="3" t="s">
        <v>127</v>
      </c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 t="s">
        <v>128</v>
      </c>
      <c r="B72" s="3" t="s">
        <v>35</v>
      </c>
      <c r="C72" s="3">
        <v>1259</v>
      </c>
      <c r="D72" s="3" t="s">
        <v>36</v>
      </c>
      <c r="E72" s="3" t="s">
        <v>35</v>
      </c>
      <c r="F72" s="3">
        <v>457</v>
      </c>
      <c r="G72" s="4">
        <v>1.5E-22</v>
      </c>
      <c r="H72" s="3">
        <v>80.5</v>
      </c>
      <c r="I72" s="3">
        <v>11.7</v>
      </c>
      <c r="J72" s="3">
        <v>1</v>
      </c>
      <c r="K72" s="3">
        <v>1</v>
      </c>
      <c r="L72" s="4">
        <v>6.7000000000000003E-25</v>
      </c>
      <c r="M72" s="4">
        <v>3.1999999999999999E-22</v>
      </c>
      <c r="N72" s="3">
        <v>79.400000000000006</v>
      </c>
      <c r="O72" s="3">
        <v>11.7</v>
      </c>
      <c r="P72" s="3">
        <v>122</v>
      </c>
      <c r="Q72" s="3">
        <v>437</v>
      </c>
      <c r="R72" s="3">
        <v>845</v>
      </c>
      <c r="S72" s="3">
        <v>1172</v>
      </c>
      <c r="T72" s="3">
        <v>821</v>
      </c>
      <c r="U72" s="3">
        <v>1207</v>
      </c>
      <c r="V72" s="3">
        <v>0.75</v>
      </c>
      <c r="W72" s="3" t="s">
        <v>129</v>
      </c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 t="s">
        <v>130</v>
      </c>
      <c r="B73" s="3" t="s">
        <v>35</v>
      </c>
      <c r="C73" s="3">
        <v>1517</v>
      </c>
      <c r="D73" s="3" t="s">
        <v>36</v>
      </c>
      <c r="E73" s="3" t="s">
        <v>35</v>
      </c>
      <c r="F73" s="3">
        <v>457</v>
      </c>
      <c r="G73" s="4">
        <v>5.1000000000000002E-22</v>
      </c>
      <c r="H73" s="3">
        <v>78.7</v>
      </c>
      <c r="I73" s="3">
        <v>11.9</v>
      </c>
      <c r="J73" s="3">
        <v>1</v>
      </c>
      <c r="K73" s="3">
        <v>2</v>
      </c>
      <c r="L73" s="3">
        <v>2.8000000000000001E-2</v>
      </c>
      <c r="M73" s="3">
        <v>13</v>
      </c>
      <c r="N73" s="3">
        <v>4.9000000000000004</v>
      </c>
      <c r="O73" s="3">
        <v>1.7</v>
      </c>
      <c r="P73" s="3">
        <v>33</v>
      </c>
      <c r="Q73" s="3">
        <v>137</v>
      </c>
      <c r="R73" s="3">
        <v>487</v>
      </c>
      <c r="S73" s="3">
        <v>578</v>
      </c>
      <c r="T73" s="3">
        <v>474</v>
      </c>
      <c r="U73" s="3">
        <v>595</v>
      </c>
      <c r="V73" s="3">
        <v>0.7</v>
      </c>
      <c r="W73" s="3" t="s">
        <v>131</v>
      </c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 t="s">
        <v>130</v>
      </c>
      <c r="B74" s="3" t="s">
        <v>35</v>
      </c>
      <c r="C74" s="3">
        <v>1517</v>
      </c>
      <c r="D74" s="3" t="s">
        <v>36</v>
      </c>
      <c r="E74" s="3" t="s">
        <v>35</v>
      </c>
      <c r="F74" s="3">
        <v>457</v>
      </c>
      <c r="G74" s="4">
        <v>5.1000000000000002E-22</v>
      </c>
      <c r="H74" s="3">
        <v>78.7</v>
      </c>
      <c r="I74" s="3">
        <v>11.9</v>
      </c>
      <c r="J74" s="3">
        <v>2</v>
      </c>
      <c r="K74" s="3">
        <v>2</v>
      </c>
      <c r="L74" s="4">
        <v>1.1E-24</v>
      </c>
      <c r="M74" s="4">
        <v>5.1000000000000002E-22</v>
      </c>
      <c r="N74" s="3">
        <v>78.7</v>
      </c>
      <c r="O74" s="3">
        <v>11.9</v>
      </c>
      <c r="P74" s="3">
        <v>133</v>
      </c>
      <c r="Q74" s="3">
        <v>420</v>
      </c>
      <c r="R74" s="3">
        <v>864</v>
      </c>
      <c r="S74" s="3">
        <v>1169</v>
      </c>
      <c r="T74" s="3">
        <v>818</v>
      </c>
      <c r="U74" s="3">
        <v>1200</v>
      </c>
      <c r="V74" s="3">
        <v>0.78</v>
      </c>
      <c r="W74" s="3" t="s">
        <v>131</v>
      </c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 t="s">
        <v>132</v>
      </c>
      <c r="B75" s="3" t="s">
        <v>35</v>
      </c>
      <c r="C75" s="3">
        <v>263</v>
      </c>
      <c r="D75" s="3" t="s">
        <v>36</v>
      </c>
      <c r="E75" s="3" t="s">
        <v>35</v>
      </c>
      <c r="F75" s="3">
        <v>457</v>
      </c>
      <c r="G75" s="4">
        <v>8.8000000000000002E-21</v>
      </c>
      <c r="H75" s="3">
        <v>74.7</v>
      </c>
      <c r="I75" s="3">
        <v>16.7</v>
      </c>
      <c r="J75" s="3">
        <v>1</v>
      </c>
      <c r="K75" s="3">
        <v>1</v>
      </c>
      <c r="L75" s="4">
        <v>2.4E-23</v>
      </c>
      <c r="M75" s="4">
        <v>1.1E-20</v>
      </c>
      <c r="N75" s="3">
        <v>74.3</v>
      </c>
      <c r="O75" s="3">
        <v>16.7</v>
      </c>
      <c r="P75" s="3">
        <v>208</v>
      </c>
      <c r="Q75" s="3">
        <v>398</v>
      </c>
      <c r="R75" s="3">
        <v>39</v>
      </c>
      <c r="S75" s="3">
        <v>233</v>
      </c>
      <c r="T75" s="3">
        <v>21</v>
      </c>
      <c r="U75" s="3">
        <v>241</v>
      </c>
      <c r="V75" s="3">
        <v>0.84</v>
      </c>
      <c r="W75" s="3" t="s">
        <v>133</v>
      </c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 t="s">
        <v>134</v>
      </c>
      <c r="B76" s="3" t="s">
        <v>35</v>
      </c>
      <c r="C76" s="3">
        <v>1540</v>
      </c>
      <c r="D76" s="3" t="s">
        <v>36</v>
      </c>
      <c r="E76" s="3" t="s">
        <v>35</v>
      </c>
      <c r="F76" s="3">
        <v>457</v>
      </c>
      <c r="G76" s="4">
        <v>1.2000000000000001E-19</v>
      </c>
      <c r="H76" s="3">
        <v>71</v>
      </c>
      <c r="I76" s="3">
        <v>10</v>
      </c>
      <c r="J76" s="3">
        <v>1</v>
      </c>
      <c r="K76" s="3">
        <v>2</v>
      </c>
      <c r="L76" s="3">
        <v>1.9E-2</v>
      </c>
      <c r="M76" s="3">
        <v>9</v>
      </c>
      <c r="N76" s="3">
        <v>5.4</v>
      </c>
      <c r="O76" s="3">
        <v>2.2999999999999998</v>
      </c>
      <c r="P76" s="3">
        <v>52</v>
      </c>
      <c r="Q76" s="3">
        <v>101</v>
      </c>
      <c r="R76" s="3">
        <v>526</v>
      </c>
      <c r="S76" s="3">
        <v>570</v>
      </c>
      <c r="T76" s="3">
        <v>505</v>
      </c>
      <c r="U76" s="3">
        <v>578</v>
      </c>
      <c r="V76" s="3">
        <v>0.79</v>
      </c>
      <c r="W76" s="3" t="s">
        <v>135</v>
      </c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 t="s">
        <v>134</v>
      </c>
      <c r="B77" s="3" t="s">
        <v>35</v>
      </c>
      <c r="C77" s="3">
        <v>1540</v>
      </c>
      <c r="D77" s="3" t="s">
        <v>36</v>
      </c>
      <c r="E77" s="3" t="s">
        <v>35</v>
      </c>
      <c r="F77" s="3">
        <v>457</v>
      </c>
      <c r="G77" s="4">
        <v>1.2000000000000001E-19</v>
      </c>
      <c r="H77" s="3">
        <v>71</v>
      </c>
      <c r="I77" s="3">
        <v>10</v>
      </c>
      <c r="J77" s="3">
        <v>2</v>
      </c>
      <c r="K77" s="3">
        <v>2</v>
      </c>
      <c r="L77" s="4">
        <v>2.4999999999999998E-22</v>
      </c>
      <c r="M77" s="4">
        <v>1.2000000000000001E-19</v>
      </c>
      <c r="N77" s="3">
        <v>71</v>
      </c>
      <c r="O77" s="3">
        <v>10</v>
      </c>
      <c r="P77" s="3">
        <v>143</v>
      </c>
      <c r="Q77" s="3">
        <v>427</v>
      </c>
      <c r="R77" s="3">
        <v>898</v>
      </c>
      <c r="S77" s="3">
        <v>1199</v>
      </c>
      <c r="T77" s="3">
        <v>850</v>
      </c>
      <c r="U77" s="3">
        <v>1224</v>
      </c>
      <c r="V77" s="3">
        <v>0.83</v>
      </c>
      <c r="W77" s="3" t="s">
        <v>135</v>
      </c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 t="s">
        <v>136</v>
      </c>
      <c r="B78" s="3" t="s">
        <v>35</v>
      </c>
      <c r="C78" s="3">
        <v>686</v>
      </c>
      <c r="D78" s="3" t="s">
        <v>36</v>
      </c>
      <c r="E78" s="3" t="s">
        <v>35</v>
      </c>
      <c r="F78" s="3">
        <v>457</v>
      </c>
      <c r="G78" s="4">
        <v>4.1999999999999998E-19</v>
      </c>
      <c r="H78" s="3">
        <v>69.099999999999994</v>
      </c>
      <c r="I78" s="3">
        <v>11.7</v>
      </c>
      <c r="J78" s="3">
        <v>1</v>
      </c>
      <c r="K78" s="3">
        <v>1</v>
      </c>
      <c r="L78" s="4">
        <v>8.9000000000000009E-22</v>
      </c>
      <c r="M78" s="4">
        <v>4.1999999999999998E-19</v>
      </c>
      <c r="N78" s="3">
        <v>69.099999999999994</v>
      </c>
      <c r="O78" s="3">
        <v>11.7</v>
      </c>
      <c r="P78" s="3">
        <v>102</v>
      </c>
      <c r="Q78" s="3">
        <v>279</v>
      </c>
      <c r="R78" s="3">
        <v>513</v>
      </c>
      <c r="S78" s="3">
        <v>676</v>
      </c>
      <c r="T78" s="3">
        <v>508</v>
      </c>
      <c r="U78" s="3">
        <v>684</v>
      </c>
      <c r="V78" s="3">
        <v>0.84</v>
      </c>
      <c r="W78" s="3" t="s">
        <v>137</v>
      </c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 t="s">
        <v>138</v>
      </c>
      <c r="B79" s="3" t="s">
        <v>35</v>
      </c>
      <c r="C79" s="3">
        <v>1091</v>
      </c>
      <c r="D79" s="3" t="s">
        <v>36</v>
      </c>
      <c r="E79" s="3" t="s">
        <v>35</v>
      </c>
      <c r="F79" s="3">
        <v>457</v>
      </c>
      <c r="G79" s="4">
        <v>5.8000000000000006E-17</v>
      </c>
      <c r="H79" s="3">
        <v>62.1</v>
      </c>
      <c r="I79" s="3">
        <v>18.600000000000001</v>
      </c>
      <c r="J79" s="3">
        <v>1</v>
      </c>
      <c r="K79" s="3">
        <v>1</v>
      </c>
      <c r="L79" s="4">
        <v>1.2000000000000001E-19</v>
      </c>
      <c r="M79" s="4">
        <v>5.8000000000000006E-17</v>
      </c>
      <c r="N79" s="3">
        <v>62.1</v>
      </c>
      <c r="O79" s="3">
        <v>18.600000000000001</v>
      </c>
      <c r="P79" s="3">
        <v>138</v>
      </c>
      <c r="Q79" s="3">
        <v>423</v>
      </c>
      <c r="R79" s="3">
        <v>567</v>
      </c>
      <c r="S79" s="3">
        <v>848</v>
      </c>
      <c r="T79" s="3">
        <v>528</v>
      </c>
      <c r="U79" s="3">
        <v>856</v>
      </c>
      <c r="V79" s="3">
        <v>0.81</v>
      </c>
      <c r="W79" s="3" t="s">
        <v>139</v>
      </c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 t="s">
        <v>140</v>
      </c>
      <c r="B80" s="3" t="s">
        <v>35</v>
      </c>
      <c r="C80" s="3">
        <v>401</v>
      </c>
      <c r="D80" s="3" t="s">
        <v>36</v>
      </c>
      <c r="E80" s="3" t="s">
        <v>35</v>
      </c>
      <c r="F80" s="3">
        <v>457</v>
      </c>
      <c r="G80" s="4">
        <v>4.8999999999999999E-15</v>
      </c>
      <c r="H80" s="3">
        <v>55.7</v>
      </c>
      <c r="I80" s="3">
        <v>8.4</v>
      </c>
      <c r="J80" s="3">
        <v>1</v>
      </c>
      <c r="K80" s="3">
        <v>1</v>
      </c>
      <c r="L80" s="4">
        <v>1.3E-17</v>
      </c>
      <c r="M80" s="4">
        <v>5.9999999999999997E-15</v>
      </c>
      <c r="N80" s="3">
        <v>55.4</v>
      </c>
      <c r="O80" s="3">
        <v>8.4</v>
      </c>
      <c r="P80" s="3">
        <v>122</v>
      </c>
      <c r="Q80" s="3">
        <v>361</v>
      </c>
      <c r="R80" s="3">
        <v>100</v>
      </c>
      <c r="S80" s="3">
        <v>343</v>
      </c>
      <c r="T80" s="3">
        <v>75</v>
      </c>
      <c r="U80" s="3">
        <v>370</v>
      </c>
      <c r="V80" s="3">
        <v>0.73</v>
      </c>
      <c r="W80" s="3" t="s">
        <v>141</v>
      </c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 t="s">
        <v>142</v>
      </c>
      <c r="B81" s="3" t="s">
        <v>35</v>
      </c>
      <c r="C81" s="3">
        <v>833</v>
      </c>
      <c r="D81" s="3" t="s">
        <v>36</v>
      </c>
      <c r="E81" s="3" t="s">
        <v>35</v>
      </c>
      <c r="F81" s="3">
        <v>457</v>
      </c>
      <c r="G81" s="4">
        <v>1.5000000000000001E-12</v>
      </c>
      <c r="H81" s="3">
        <v>47.5</v>
      </c>
      <c r="I81" s="3">
        <v>5.4</v>
      </c>
      <c r="J81" s="3">
        <v>1</v>
      </c>
      <c r="K81" s="3">
        <v>1</v>
      </c>
      <c r="L81" s="4">
        <v>9.7999999999999999E-15</v>
      </c>
      <c r="M81" s="4">
        <v>4.6999999999999998E-12</v>
      </c>
      <c r="N81" s="3">
        <v>45.9</v>
      </c>
      <c r="O81" s="3">
        <v>5.4</v>
      </c>
      <c r="P81" s="3">
        <v>134</v>
      </c>
      <c r="Q81" s="3">
        <v>268</v>
      </c>
      <c r="R81" s="3">
        <v>704</v>
      </c>
      <c r="S81" s="3">
        <v>824</v>
      </c>
      <c r="T81" s="3">
        <v>684</v>
      </c>
      <c r="U81" s="3">
        <v>826</v>
      </c>
      <c r="V81" s="3">
        <v>0.85</v>
      </c>
      <c r="W81" s="3" t="s">
        <v>143</v>
      </c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 t="s">
        <v>144</v>
      </c>
      <c r="B82" s="3" t="s">
        <v>35</v>
      </c>
      <c r="C82" s="3">
        <v>420</v>
      </c>
      <c r="D82" s="3" t="s">
        <v>36</v>
      </c>
      <c r="E82" s="3" t="s">
        <v>35</v>
      </c>
      <c r="F82" s="3">
        <v>457</v>
      </c>
      <c r="G82" s="4">
        <v>7.4E-12</v>
      </c>
      <c r="H82" s="3">
        <v>45.2</v>
      </c>
      <c r="I82" s="3">
        <v>2.2000000000000002</v>
      </c>
      <c r="J82" s="3">
        <v>1</v>
      </c>
      <c r="K82" s="3">
        <v>1</v>
      </c>
      <c r="L82" s="4">
        <v>2.6E-14</v>
      </c>
      <c r="M82" s="4">
        <v>1.2000000000000001E-11</v>
      </c>
      <c r="N82" s="3">
        <v>44.5</v>
      </c>
      <c r="O82" s="3">
        <v>2.2000000000000002</v>
      </c>
      <c r="P82" s="3">
        <v>118</v>
      </c>
      <c r="Q82" s="3">
        <v>267</v>
      </c>
      <c r="R82" s="3">
        <v>225</v>
      </c>
      <c r="S82" s="3">
        <v>384</v>
      </c>
      <c r="T82" s="3">
        <v>206</v>
      </c>
      <c r="U82" s="3">
        <v>400</v>
      </c>
      <c r="V82" s="3">
        <v>0.78</v>
      </c>
      <c r="W82" s="3" t="s">
        <v>145</v>
      </c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 t="s">
        <v>146</v>
      </c>
      <c r="B83" s="3" t="s">
        <v>35</v>
      </c>
      <c r="C83" s="3">
        <v>333</v>
      </c>
      <c r="D83" s="3" t="s">
        <v>36</v>
      </c>
      <c r="E83" s="3" t="s">
        <v>35</v>
      </c>
      <c r="F83" s="3">
        <v>457</v>
      </c>
      <c r="G83" s="4">
        <v>3E-10</v>
      </c>
      <c r="H83" s="3">
        <v>39.9</v>
      </c>
      <c r="I83" s="3">
        <v>10.199999999999999</v>
      </c>
      <c r="J83" s="3">
        <v>1</v>
      </c>
      <c r="K83" s="3">
        <v>1</v>
      </c>
      <c r="L83" s="4">
        <v>8.0000000000000002E-13</v>
      </c>
      <c r="M83" s="4">
        <v>3.7999999999999998E-10</v>
      </c>
      <c r="N83" s="3">
        <v>39.6</v>
      </c>
      <c r="O83" s="3">
        <v>10.199999999999999</v>
      </c>
      <c r="P83" s="3">
        <v>209</v>
      </c>
      <c r="Q83" s="3">
        <v>404</v>
      </c>
      <c r="R83" s="3">
        <v>70</v>
      </c>
      <c r="S83" s="3">
        <v>289</v>
      </c>
      <c r="T83" s="3">
        <v>47</v>
      </c>
      <c r="U83" s="3">
        <v>319</v>
      </c>
      <c r="V83" s="3">
        <v>0.8</v>
      </c>
      <c r="W83" s="3" t="s">
        <v>147</v>
      </c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 t="s">
        <v>148</v>
      </c>
      <c r="B84" s="3" t="s">
        <v>35</v>
      </c>
      <c r="C84" s="3">
        <v>329</v>
      </c>
      <c r="D84" s="3" t="s">
        <v>36</v>
      </c>
      <c r="E84" s="3" t="s">
        <v>35</v>
      </c>
      <c r="F84" s="3">
        <v>457</v>
      </c>
      <c r="G84" s="4">
        <v>6.3999999999999996E-10</v>
      </c>
      <c r="H84" s="3">
        <v>38.799999999999997</v>
      </c>
      <c r="I84" s="3">
        <v>9.5</v>
      </c>
      <c r="J84" s="3">
        <v>1</v>
      </c>
      <c r="K84" s="3">
        <v>1</v>
      </c>
      <c r="L84" s="4">
        <v>1.7E-12</v>
      </c>
      <c r="M84" s="4">
        <v>8.1999999999999996E-10</v>
      </c>
      <c r="N84" s="3">
        <v>38.5</v>
      </c>
      <c r="O84" s="3">
        <v>9.5</v>
      </c>
      <c r="P84" s="3">
        <v>209</v>
      </c>
      <c r="Q84" s="3">
        <v>404</v>
      </c>
      <c r="R84" s="3">
        <v>70</v>
      </c>
      <c r="S84" s="3">
        <v>285</v>
      </c>
      <c r="T84" s="3">
        <v>47</v>
      </c>
      <c r="U84" s="3">
        <v>315</v>
      </c>
      <c r="V84" s="3">
        <v>0.82</v>
      </c>
      <c r="W84" s="3" t="s">
        <v>149</v>
      </c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 t="s">
        <v>150</v>
      </c>
      <c r="B85" s="3" t="s">
        <v>35</v>
      </c>
      <c r="C85" s="3">
        <v>204</v>
      </c>
      <c r="D85" s="3" t="s">
        <v>36</v>
      </c>
      <c r="E85" s="3" t="s">
        <v>35</v>
      </c>
      <c r="F85" s="3">
        <v>457</v>
      </c>
      <c r="G85" s="4">
        <v>1.3000000000000001E-8</v>
      </c>
      <c r="H85" s="3">
        <v>34.5</v>
      </c>
      <c r="I85" s="3">
        <v>0.5</v>
      </c>
      <c r="J85" s="3">
        <v>1</v>
      </c>
      <c r="K85" s="3">
        <v>1</v>
      </c>
      <c r="L85" s="4">
        <v>2.8E-11</v>
      </c>
      <c r="M85" s="4">
        <v>1.3000000000000001E-8</v>
      </c>
      <c r="N85" s="3">
        <v>34.5</v>
      </c>
      <c r="O85" s="3">
        <v>0.5</v>
      </c>
      <c r="P85" s="3">
        <v>334</v>
      </c>
      <c r="Q85" s="3">
        <v>450</v>
      </c>
      <c r="R85" s="3">
        <v>9</v>
      </c>
      <c r="S85" s="3">
        <v>124</v>
      </c>
      <c r="T85" s="3">
        <v>1</v>
      </c>
      <c r="U85" s="3">
        <v>184</v>
      </c>
      <c r="V85" s="3">
        <v>0.72</v>
      </c>
      <c r="W85" s="3" t="s">
        <v>151</v>
      </c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 t="s">
        <v>152</v>
      </c>
      <c r="B86" s="3" t="s">
        <v>35</v>
      </c>
      <c r="C86" s="3">
        <v>682</v>
      </c>
      <c r="D86" s="3" t="s">
        <v>36</v>
      </c>
      <c r="E86" s="3" t="s">
        <v>35</v>
      </c>
      <c r="F86" s="3">
        <v>457</v>
      </c>
      <c r="G86" s="4">
        <v>3.9999999999999998E-7</v>
      </c>
      <c r="H86" s="3">
        <v>29.7</v>
      </c>
      <c r="I86" s="3">
        <v>24.9</v>
      </c>
      <c r="J86" s="3">
        <v>1</v>
      </c>
      <c r="K86" s="3">
        <v>2</v>
      </c>
      <c r="L86" s="3">
        <v>5.9</v>
      </c>
      <c r="M86" s="4">
        <v>2800</v>
      </c>
      <c r="N86" s="3">
        <v>-2.8</v>
      </c>
      <c r="O86" s="3">
        <v>0</v>
      </c>
      <c r="P86" s="3">
        <v>180</v>
      </c>
      <c r="Q86" s="3">
        <v>208</v>
      </c>
      <c r="R86" s="3">
        <v>13</v>
      </c>
      <c r="S86" s="3">
        <v>41</v>
      </c>
      <c r="T86" s="3">
        <v>11</v>
      </c>
      <c r="U86" s="3">
        <v>53</v>
      </c>
      <c r="V86" s="3">
        <v>0.79</v>
      </c>
      <c r="W86" s="3" t="s">
        <v>153</v>
      </c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 t="s">
        <v>152</v>
      </c>
      <c r="B87" s="3" t="s">
        <v>35</v>
      </c>
      <c r="C87" s="3">
        <v>682</v>
      </c>
      <c r="D87" s="3" t="s">
        <v>36</v>
      </c>
      <c r="E87" s="3" t="s">
        <v>35</v>
      </c>
      <c r="F87" s="3">
        <v>457</v>
      </c>
      <c r="G87" s="4">
        <v>3.9999999999999998E-7</v>
      </c>
      <c r="H87" s="3">
        <v>29.7</v>
      </c>
      <c r="I87" s="3">
        <v>24.9</v>
      </c>
      <c r="J87" s="3">
        <v>2</v>
      </c>
      <c r="K87" s="3">
        <v>2</v>
      </c>
      <c r="L87" s="4">
        <v>1.2E-9</v>
      </c>
      <c r="M87" s="4">
        <v>5.7999999999999995E-7</v>
      </c>
      <c r="N87" s="3">
        <v>29.1</v>
      </c>
      <c r="O87" s="3">
        <v>23.1</v>
      </c>
      <c r="P87" s="3">
        <v>100</v>
      </c>
      <c r="Q87" s="3">
        <v>393</v>
      </c>
      <c r="R87" s="3">
        <v>359</v>
      </c>
      <c r="S87" s="3">
        <v>655</v>
      </c>
      <c r="T87" s="3">
        <v>341</v>
      </c>
      <c r="U87" s="3">
        <v>661</v>
      </c>
      <c r="V87" s="3">
        <v>0.69</v>
      </c>
      <c r="W87" s="3" t="s">
        <v>153</v>
      </c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 t="s">
        <v>154</v>
      </c>
      <c r="B88" s="3" t="s">
        <v>35</v>
      </c>
      <c r="C88" s="3">
        <v>355</v>
      </c>
      <c r="D88" s="3" t="s">
        <v>36</v>
      </c>
      <c r="E88" s="3" t="s">
        <v>35</v>
      </c>
      <c r="F88" s="3">
        <v>457</v>
      </c>
      <c r="G88" s="3">
        <v>4.4999999999999997E-3</v>
      </c>
      <c r="H88" s="3">
        <v>16.3</v>
      </c>
      <c r="I88" s="3">
        <v>17.5</v>
      </c>
      <c r="J88" s="3">
        <v>1</v>
      </c>
      <c r="K88" s="3">
        <v>1</v>
      </c>
      <c r="L88" s="4">
        <v>1.2999999999999999E-5</v>
      </c>
      <c r="M88" s="3">
        <v>6.3E-3</v>
      </c>
      <c r="N88" s="3">
        <v>15.8</v>
      </c>
      <c r="O88" s="3">
        <v>17.5</v>
      </c>
      <c r="P88" s="3">
        <v>180</v>
      </c>
      <c r="Q88" s="3">
        <v>322</v>
      </c>
      <c r="R88" s="3">
        <v>26</v>
      </c>
      <c r="S88" s="3">
        <v>174</v>
      </c>
      <c r="T88" s="3">
        <v>20</v>
      </c>
      <c r="U88" s="3">
        <v>193</v>
      </c>
      <c r="V88" s="3">
        <v>0.84</v>
      </c>
      <c r="W88" s="3" t="s">
        <v>155</v>
      </c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 t="s">
        <v>156</v>
      </c>
      <c r="B89" s="3" t="s">
        <v>35</v>
      </c>
      <c r="C89" s="3">
        <v>331</v>
      </c>
      <c r="D89" s="3" t="s">
        <v>36</v>
      </c>
      <c r="E89" s="3" t="s">
        <v>35</v>
      </c>
      <c r="F89" s="3">
        <v>457</v>
      </c>
      <c r="G89" s="3">
        <v>5.4999999999999997E-3</v>
      </c>
      <c r="H89" s="3">
        <v>16</v>
      </c>
      <c r="I89" s="3">
        <v>17.3</v>
      </c>
      <c r="J89" s="3">
        <v>1</v>
      </c>
      <c r="K89" s="3">
        <v>1</v>
      </c>
      <c r="L89" s="4">
        <v>1.5E-5</v>
      </c>
      <c r="M89" s="3">
        <v>6.8999999999999999E-3</v>
      </c>
      <c r="N89" s="3">
        <v>15.7</v>
      </c>
      <c r="O89" s="3">
        <v>17.3</v>
      </c>
      <c r="P89" s="3">
        <v>180</v>
      </c>
      <c r="Q89" s="3">
        <v>322</v>
      </c>
      <c r="R89" s="3">
        <v>2</v>
      </c>
      <c r="S89" s="3">
        <v>150</v>
      </c>
      <c r="T89" s="3">
        <v>1</v>
      </c>
      <c r="U89" s="3">
        <v>169</v>
      </c>
      <c r="V89" s="3">
        <v>0.82</v>
      </c>
      <c r="W89" s="3" t="s">
        <v>157</v>
      </c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 t="s">
        <v>158</v>
      </c>
      <c r="B90" s="3" t="s">
        <v>35</v>
      </c>
      <c r="C90" s="3">
        <v>401</v>
      </c>
      <c r="D90" s="3" t="s">
        <v>36</v>
      </c>
      <c r="E90" s="3" t="s">
        <v>35</v>
      </c>
      <c r="F90" s="3">
        <v>457</v>
      </c>
      <c r="G90" s="3">
        <v>1.2E-2</v>
      </c>
      <c r="H90" s="3">
        <v>14.9</v>
      </c>
      <c r="I90" s="3">
        <v>10</v>
      </c>
      <c r="J90" s="3">
        <v>1</v>
      </c>
      <c r="K90" s="3">
        <v>1</v>
      </c>
      <c r="L90" s="4">
        <v>4.0000000000000003E-5</v>
      </c>
      <c r="M90" s="3">
        <v>1.9E-2</v>
      </c>
      <c r="N90" s="3">
        <v>14.2</v>
      </c>
      <c r="O90" s="3">
        <v>10</v>
      </c>
      <c r="P90" s="3">
        <v>215</v>
      </c>
      <c r="Q90" s="3">
        <v>342</v>
      </c>
      <c r="R90" s="3">
        <v>116</v>
      </c>
      <c r="S90" s="3">
        <v>242</v>
      </c>
      <c r="T90" s="3">
        <v>92</v>
      </c>
      <c r="U90" s="3">
        <v>274</v>
      </c>
      <c r="V90" s="3">
        <v>0.87</v>
      </c>
      <c r="W90" s="3" t="s">
        <v>159</v>
      </c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 t="s">
        <v>160</v>
      </c>
      <c r="B91" s="3" t="s">
        <v>35</v>
      </c>
      <c r="C91" s="3">
        <v>298</v>
      </c>
      <c r="D91" s="3" t="s">
        <v>36</v>
      </c>
      <c r="E91" s="3" t="s">
        <v>35</v>
      </c>
      <c r="F91" s="3">
        <v>457</v>
      </c>
      <c r="G91" s="3">
        <v>4.2999999999999997E-2</v>
      </c>
      <c r="H91" s="3">
        <v>13.1</v>
      </c>
      <c r="I91" s="3">
        <v>0</v>
      </c>
      <c r="J91" s="3">
        <v>1</v>
      </c>
      <c r="K91" s="3">
        <v>1</v>
      </c>
      <c r="L91" s="3">
        <v>1.6000000000000001E-4</v>
      </c>
      <c r="M91" s="3">
        <v>7.4999999999999997E-2</v>
      </c>
      <c r="N91" s="3">
        <v>12.2</v>
      </c>
      <c r="O91" s="3">
        <v>0</v>
      </c>
      <c r="P91" s="3">
        <v>161</v>
      </c>
      <c r="Q91" s="3">
        <v>199</v>
      </c>
      <c r="R91" s="3">
        <v>10</v>
      </c>
      <c r="S91" s="3">
        <v>53</v>
      </c>
      <c r="T91" s="3">
        <v>6</v>
      </c>
      <c r="U91" s="3">
        <v>75</v>
      </c>
      <c r="V91" s="3">
        <v>0.75</v>
      </c>
      <c r="W91" s="3" t="s">
        <v>161</v>
      </c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 t="s">
        <v>162</v>
      </c>
      <c r="B92" s="3" t="s">
        <v>35</v>
      </c>
      <c r="C92" s="3">
        <v>6251</v>
      </c>
      <c r="D92" s="3" t="s">
        <v>36</v>
      </c>
      <c r="E92" s="3" t="s">
        <v>35</v>
      </c>
      <c r="F92" s="3">
        <v>457</v>
      </c>
      <c r="G92" s="3">
        <v>5.6000000000000001E-2</v>
      </c>
      <c r="H92" s="3">
        <v>12.7</v>
      </c>
      <c r="I92" s="3">
        <v>23</v>
      </c>
      <c r="J92" s="3">
        <v>1</v>
      </c>
      <c r="K92" s="3">
        <v>1</v>
      </c>
      <c r="L92" s="3">
        <v>1.8000000000000001E-4</v>
      </c>
      <c r="M92" s="3">
        <v>8.6999999999999994E-2</v>
      </c>
      <c r="N92" s="3">
        <v>12</v>
      </c>
      <c r="O92" s="3">
        <v>23</v>
      </c>
      <c r="P92" s="3">
        <v>150</v>
      </c>
      <c r="Q92" s="3">
        <v>400</v>
      </c>
      <c r="R92" s="3">
        <v>5854</v>
      </c>
      <c r="S92" s="3">
        <v>6104</v>
      </c>
      <c r="T92" s="3">
        <v>5805</v>
      </c>
      <c r="U92" s="3">
        <v>6122</v>
      </c>
      <c r="V92" s="3">
        <v>0.71</v>
      </c>
      <c r="W92" s="3" t="s">
        <v>163</v>
      </c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 t="s">
        <v>164</v>
      </c>
      <c r="B93" s="3" t="s">
        <v>35</v>
      </c>
      <c r="C93" s="3">
        <v>324</v>
      </c>
      <c r="D93" s="3" t="s">
        <v>36</v>
      </c>
      <c r="E93" s="3" t="s">
        <v>35</v>
      </c>
      <c r="F93" s="3">
        <v>457</v>
      </c>
      <c r="G93" s="3">
        <v>0.1</v>
      </c>
      <c r="H93" s="3">
        <v>11.8</v>
      </c>
      <c r="I93" s="3">
        <v>12.5</v>
      </c>
      <c r="J93" s="3">
        <v>1</v>
      </c>
      <c r="K93" s="3">
        <v>1</v>
      </c>
      <c r="L93" s="3">
        <v>2.7E-4</v>
      </c>
      <c r="M93" s="3">
        <v>0.13</v>
      </c>
      <c r="N93" s="3">
        <v>11.5</v>
      </c>
      <c r="O93" s="3">
        <v>12.5</v>
      </c>
      <c r="P93" s="3">
        <v>215</v>
      </c>
      <c r="Q93" s="3">
        <v>420</v>
      </c>
      <c r="R93" s="3">
        <v>92</v>
      </c>
      <c r="S93" s="3">
        <v>312</v>
      </c>
      <c r="T93" s="3">
        <v>43</v>
      </c>
      <c r="U93" s="3">
        <v>323</v>
      </c>
      <c r="V93" s="3">
        <v>0.8</v>
      </c>
      <c r="W93" s="3" t="s">
        <v>165</v>
      </c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 t="s">
        <v>166</v>
      </c>
      <c r="B94" s="3" t="s">
        <v>35</v>
      </c>
      <c r="C94" s="3">
        <v>827</v>
      </c>
      <c r="D94" s="3" t="s">
        <v>36</v>
      </c>
      <c r="E94" s="3" t="s">
        <v>35</v>
      </c>
      <c r="F94" s="3">
        <v>457</v>
      </c>
      <c r="G94" s="3">
        <v>0.1</v>
      </c>
      <c r="H94" s="3">
        <v>11.8</v>
      </c>
      <c r="I94" s="3">
        <v>6.3</v>
      </c>
      <c r="J94" s="3">
        <v>1</v>
      </c>
      <c r="K94" s="3">
        <v>1</v>
      </c>
      <c r="L94" s="3">
        <v>3.3E-4</v>
      </c>
      <c r="M94" s="3">
        <v>0.16</v>
      </c>
      <c r="N94" s="3">
        <v>11.2</v>
      </c>
      <c r="O94" s="3">
        <v>6.3</v>
      </c>
      <c r="P94" s="3">
        <v>208</v>
      </c>
      <c r="Q94" s="3">
        <v>362</v>
      </c>
      <c r="R94" s="3">
        <v>281</v>
      </c>
      <c r="S94" s="3">
        <v>442</v>
      </c>
      <c r="T94" s="3">
        <v>242</v>
      </c>
      <c r="U94" s="3">
        <v>451</v>
      </c>
      <c r="V94" s="3">
        <v>0.81</v>
      </c>
      <c r="W94" s="3" t="s">
        <v>167</v>
      </c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t="s">
        <v>0</v>
      </c>
    </row>
    <row r="96" spans="1:32" x14ac:dyDescent="0.3">
      <c r="A96" t="s">
        <v>168</v>
      </c>
      <c r="B96" t="s">
        <v>169</v>
      </c>
    </row>
    <row r="97" spans="1:23" x14ac:dyDescent="0.3">
      <c r="A97" t="s">
        <v>170</v>
      </c>
      <c r="B97" t="s">
        <v>171</v>
      </c>
      <c r="C97" t="s">
        <v>172</v>
      </c>
    </row>
    <row r="98" spans="1:23" x14ac:dyDescent="0.3">
      <c r="A98" t="s">
        <v>173</v>
      </c>
      <c r="B98" t="s">
        <v>174</v>
      </c>
    </row>
    <row r="99" spans="1:23" x14ac:dyDescent="0.3">
      <c r="A99" t="s">
        <v>175</v>
      </c>
      <c r="B99" t="s">
        <v>176</v>
      </c>
      <c r="C99" t="s">
        <v>177</v>
      </c>
      <c r="D99" t="s">
        <v>178</v>
      </c>
      <c r="E99" t="s">
        <v>179</v>
      </c>
      <c r="F99" t="s">
        <v>180</v>
      </c>
      <c r="G99" t="s">
        <v>181</v>
      </c>
      <c r="H99" t="s">
        <v>182</v>
      </c>
      <c r="I99" t="s">
        <v>183</v>
      </c>
      <c r="J99" t="s">
        <v>184</v>
      </c>
    </row>
    <row r="100" spans="1:23" x14ac:dyDescent="0.3">
      <c r="A100" t="s">
        <v>185</v>
      </c>
      <c r="B100" t="s">
        <v>176</v>
      </c>
      <c r="C100" t="s">
        <v>177</v>
      </c>
      <c r="D100" t="s">
        <v>186</v>
      </c>
      <c r="E100" t="s">
        <v>187</v>
      </c>
      <c r="F100" t="s">
        <v>188</v>
      </c>
      <c r="G100" t="s">
        <v>189</v>
      </c>
      <c r="H100" t="s">
        <v>190</v>
      </c>
      <c r="I100" t="s">
        <v>191</v>
      </c>
      <c r="J100" t="s">
        <v>184</v>
      </c>
    </row>
    <row r="101" spans="1:23" x14ac:dyDescent="0.3">
      <c r="A101" t="s">
        <v>192</v>
      </c>
      <c r="B101" t="s">
        <v>193</v>
      </c>
      <c r="C101" t="s">
        <v>194</v>
      </c>
      <c r="D101" t="s">
        <v>195</v>
      </c>
      <c r="E101" t="s">
        <v>196</v>
      </c>
      <c r="F101" t="s">
        <v>197</v>
      </c>
      <c r="G101" t="s">
        <v>198</v>
      </c>
      <c r="H101" t="s">
        <v>199</v>
      </c>
      <c r="I101">
        <v>632642</v>
      </c>
      <c r="J101" t="s">
        <v>200</v>
      </c>
      <c r="K101" t="s">
        <v>201</v>
      </c>
      <c r="L101" t="s">
        <v>202</v>
      </c>
      <c r="M101" t="s">
        <v>203</v>
      </c>
      <c r="N101" t="s">
        <v>204</v>
      </c>
      <c r="O101" t="s">
        <v>205</v>
      </c>
      <c r="P101" t="e">
        <f t="array" ref="P101">--dom</f>
        <v>#NAME?</v>
      </c>
      <c r="Q101" t="s">
        <v>205</v>
      </c>
      <c r="R101">
        <f>--F1</f>
        <v>0</v>
      </c>
      <c r="S101">
        <v>-0.02</v>
      </c>
      <c r="T101" t="s">
        <v>206</v>
      </c>
      <c r="U101" t="s">
        <v>207</v>
      </c>
      <c r="V101" t="s">
        <v>208</v>
      </c>
      <c r="W101" t="s">
        <v>209</v>
      </c>
    </row>
    <row r="102" spans="1:23" x14ac:dyDescent="0.3">
      <c r="A102" t="s">
        <v>210</v>
      </c>
      <c r="B102" t="s">
        <v>211</v>
      </c>
      <c r="C102" t="s">
        <v>212</v>
      </c>
      <c r="D102" t="s">
        <v>213</v>
      </c>
      <c r="E102" t="s">
        <v>214</v>
      </c>
    </row>
    <row r="103" spans="1:23" x14ac:dyDescent="0.3">
      <c r="A103" t="s">
        <v>215</v>
      </c>
      <c r="B103" t="s">
        <v>216</v>
      </c>
      <c r="C103" s="2">
        <v>4.1678240740740738E-2</v>
      </c>
      <c r="D103" t="s">
        <v>217</v>
      </c>
    </row>
    <row r="104" spans="1:23" x14ac:dyDescent="0.3">
      <c r="A104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3" hidden="1" customWidth="1"/>
    <col min="4" max="6" width="13" hidden="1" customWidth="1"/>
    <col min="7" max="7" width="13" customWidth="1"/>
    <col min="8" max="22" width="13" hidden="1" customWidth="1"/>
    <col min="24" max="24" width="5.6640625" bestFit="1" customWidth="1"/>
  </cols>
  <sheetData>
    <row r="1" spans="1:27" x14ac:dyDescent="0.3">
      <c r="A1" t="s">
        <v>12</v>
      </c>
      <c r="B1" t="s">
        <v>13</v>
      </c>
      <c r="C1" t="s">
        <v>14</v>
      </c>
      <c r="D1" t="s">
        <v>15</v>
      </c>
      <c r="E1" t="s">
        <v>13</v>
      </c>
      <c r="F1" t="s">
        <v>16</v>
      </c>
      <c r="G1" t="s">
        <v>17</v>
      </c>
      <c r="H1" t="s">
        <v>18</v>
      </c>
      <c r="I1" t="s">
        <v>19</v>
      </c>
      <c r="J1" t="s">
        <v>0</v>
      </c>
      <c r="K1" t="s">
        <v>20</v>
      </c>
      <c r="L1" t="s">
        <v>21</v>
      </c>
      <c r="M1" t="s">
        <v>22</v>
      </c>
      <c r="N1" t="s">
        <v>18</v>
      </c>
      <c r="O1" t="s">
        <v>19</v>
      </c>
      <c r="P1" t="s">
        <v>23</v>
      </c>
      <c r="Q1" t="s">
        <v>24</v>
      </c>
      <c r="R1" t="s">
        <v>23</v>
      </c>
      <c r="S1" t="s">
        <v>24</v>
      </c>
      <c r="T1" t="s">
        <v>23</v>
      </c>
      <c r="U1" t="s">
        <v>24</v>
      </c>
      <c r="V1" t="s">
        <v>25</v>
      </c>
      <c r="W1" t="s">
        <v>26</v>
      </c>
      <c r="X1" t="s">
        <v>219</v>
      </c>
    </row>
    <row r="2" spans="1:27" ht="17.399999999999999" customHeight="1" x14ac:dyDescent="0.3">
      <c r="A2" t="s">
        <v>46</v>
      </c>
      <c r="B2" t="s">
        <v>35</v>
      </c>
      <c r="C2">
        <v>465</v>
      </c>
      <c r="D2" t="s">
        <v>36</v>
      </c>
      <c r="E2" t="s">
        <v>35</v>
      </c>
      <c r="F2">
        <v>457</v>
      </c>
      <c r="G2" s="1">
        <v>6.9999999999999999E-151</v>
      </c>
      <c r="H2">
        <v>503.5</v>
      </c>
      <c r="I2">
        <v>21.1</v>
      </c>
      <c r="J2">
        <v>1</v>
      </c>
      <c r="K2">
        <v>1</v>
      </c>
      <c r="L2" s="1">
        <v>1.9000000000000001E-153</v>
      </c>
      <c r="M2" s="1">
        <v>8.9000000000000001E-151</v>
      </c>
      <c r="N2">
        <v>503.2</v>
      </c>
      <c r="O2">
        <v>21.1</v>
      </c>
      <c r="P2">
        <v>9</v>
      </c>
      <c r="Q2">
        <v>439</v>
      </c>
      <c r="R2">
        <v>16</v>
      </c>
      <c r="S2">
        <v>432</v>
      </c>
      <c r="T2">
        <v>5</v>
      </c>
      <c r="U2">
        <v>457</v>
      </c>
      <c r="V2">
        <v>0.93</v>
      </c>
      <c r="W2" t="s">
        <v>47</v>
      </c>
      <c r="X2">
        <v>14</v>
      </c>
      <c r="Y2" s="5" t="s">
        <v>220</v>
      </c>
      <c r="Z2" s="6" t="s">
        <v>221</v>
      </c>
    </row>
    <row r="3" spans="1:27" x14ac:dyDescent="0.3">
      <c r="A3" t="s">
        <v>48</v>
      </c>
      <c r="B3" t="s">
        <v>35</v>
      </c>
      <c r="C3">
        <v>465</v>
      </c>
      <c r="D3" t="s">
        <v>36</v>
      </c>
      <c r="E3" t="s">
        <v>35</v>
      </c>
      <c r="F3">
        <v>457</v>
      </c>
      <c r="G3" s="1">
        <v>6.9999999999999999E-151</v>
      </c>
      <c r="H3">
        <v>503.5</v>
      </c>
      <c r="I3">
        <v>21.1</v>
      </c>
      <c r="J3">
        <v>1</v>
      </c>
      <c r="K3">
        <v>1</v>
      </c>
      <c r="L3" s="1">
        <v>1.9000000000000001E-153</v>
      </c>
      <c r="M3" s="1">
        <v>8.9000000000000001E-151</v>
      </c>
      <c r="N3">
        <v>503.2</v>
      </c>
      <c r="O3">
        <v>21.1</v>
      </c>
      <c r="P3">
        <v>9</v>
      </c>
      <c r="Q3">
        <v>439</v>
      </c>
      <c r="R3">
        <v>16</v>
      </c>
      <c r="S3">
        <v>432</v>
      </c>
      <c r="T3">
        <v>5</v>
      </c>
      <c r="U3">
        <v>457</v>
      </c>
      <c r="V3">
        <v>0.93</v>
      </c>
      <c r="W3" t="s">
        <v>47</v>
      </c>
      <c r="X3">
        <v>14</v>
      </c>
      <c r="Y3" t="s">
        <v>220</v>
      </c>
      <c r="AA3" t="s">
        <v>222</v>
      </c>
    </row>
    <row r="4" spans="1:27" ht="15.6" customHeight="1" x14ac:dyDescent="0.3">
      <c r="A4" t="s">
        <v>49</v>
      </c>
      <c r="B4" t="s">
        <v>35</v>
      </c>
      <c r="C4">
        <v>452</v>
      </c>
      <c r="D4" t="s">
        <v>36</v>
      </c>
      <c r="E4" t="s">
        <v>35</v>
      </c>
      <c r="F4">
        <v>457</v>
      </c>
      <c r="G4" s="1">
        <v>1.1E-150</v>
      </c>
      <c r="H4">
        <v>502.9</v>
      </c>
      <c r="I4">
        <v>14</v>
      </c>
      <c r="J4">
        <v>1</v>
      </c>
      <c r="K4">
        <v>1</v>
      </c>
      <c r="L4" s="1">
        <v>2.9E-153</v>
      </c>
      <c r="M4" s="1">
        <v>1.4E-150</v>
      </c>
      <c r="N4">
        <v>502.6</v>
      </c>
      <c r="O4">
        <v>14</v>
      </c>
      <c r="P4">
        <v>24</v>
      </c>
      <c r="Q4">
        <v>437</v>
      </c>
      <c r="R4">
        <v>17</v>
      </c>
      <c r="S4">
        <v>417</v>
      </c>
      <c r="T4">
        <v>3</v>
      </c>
      <c r="U4">
        <v>442</v>
      </c>
      <c r="V4">
        <v>0.95</v>
      </c>
      <c r="W4" t="s">
        <v>47</v>
      </c>
      <c r="X4">
        <v>13</v>
      </c>
      <c r="Y4" t="s">
        <v>223</v>
      </c>
      <c r="Z4" s="6" t="s">
        <v>224</v>
      </c>
    </row>
    <row r="5" spans="1:27" ht="15.6" customHeight="1" x14ac:dyDescent="0.3">
      <c r="A5" t="s">
        <v>56</v>
      </c>
      <c r="B5" t="s">
        <v>35</v>
      </c>
      <c r="C5">
        <v>464</v>
      </c>
      <c r="D5" t="s">
        <v>36</v>
      </c>
      <c r="E5" t="s">
        <v>35</v>
      </c>
      <c r="F5">
        <v>457</v>
      </c>
      <c r="G5" s="1">
        <v>9.9999999999999991E-146</v>
      </c>
      <c r="H5">
        <v>486.5</v>
      </c>
      <c r="I5">
        <v>16</v>
      </c>
      <c r="J5">
        <v>1</v>
      </c>
      <c r="K5">
        <v>1</v>
      </c>
      <c r="L5" s="1">
        <v>2.4999999999999999E-148</v>
      </c>
      <c r="M5" s="1">
        <v>1.2000000000000001E-145</v>
      </c>
      <c r="N5">
        <v>486.3</v>
      </c>
      <c r="O5">
        <v>16</v>
      </c>
      <c r="P5">
        <v>26</v>
      </c>
      <c r="Q5">
        <v>446</v>
      </c>
      <c r="R5">
        <v>37</v>
      </c>
      <c r="S5">
        <v>446</v>
      </c>
      <c r="T5">
        <v>1</v>
      </c>
      <c r="U5">
        <v>460</v>
      </c>
      <c r="V5">
        <v>0.88</v>
      </c>
      <c r="W5" t="s">
        <v>47</v>
      </c>
      <c r="X5">
        <v>13</v>
      </c>
      <c r="Y5" t="s">
        <v>225</v>
      </c>
      <c r="Z5" s="6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"/>
  <sheetViews>
    <sheetView workbookViewId="0">
      <selection activeCell="X22" sqref="X22"/>
    </sheetView>
  </sheetViews>
  <sheetFormatPr defaultRowHeight="14.4" x14ac:dyDescent="0.3"/>
  <cols>
    <col min="2" max="2" width="13" hidden="1" customWidth="1"/>
    <col min="4" max="6" width="13" hidden="1" customWidth="1"/>
    <col min="8" max="22" width="13" hidden="1" customWidth="1"/>
    <col min="24" max="24" width="5.6640625" bestFit="1" customWidth="1"/>
  </cols>
  <sheetData>
    <row r="1" spans="1:26" x14ac:dyDescent="0.3">
      <c r="A1" t="s">
        <v>12</v>
      </c>
      <c r="B1" t="s">
        <v>13</v>
      </c>
      <c r="C1" t="s">
        <v>14</v>
      </c>
      <c r="D1" t="s">
        <v>15</v>
      </c>
      <c r="E1" t="s">
        <v>13</v>
      </c>
      <c r="F1" t="s">
        <v>16</v>
      </c>
      <c r="G1" t="s">
        <v>17</v>
      </c>
      <c r="H1" t="s">
        <v>18</v>
      </c>
      <c r="I1" t="s">
        <v>19</v>
      </c>
      <c r="J1" t="s">
        <v>0</v>
      </c>
      <c r="K1" t="s">
        <v>20</v>
      </c>
      <c r="L1" t="s">
        <v>21</v>
      </c>
      <c r="M1" t="s">
        <v>22</v>
      </c>
      <c r="N1" t="s">
        <v>18</v>
      </c>
      <c r="O1" t="s">
        <v>19</v>
      </c>
      <c r="P1" t="s">
        <v>23</v>
      </c>
      <c r="Q1" t="s">
        <v>24</v>
      </c>
      <c r="R1" t="s">
        <v>23</v>
      </c>
      <c r="S1" t="s">
        <v>24</v>
      </c>
      <c r="T1" t="s">
        <v>23</v>
      </c>
      <c r="U1" t="s">
        <v>24</v>
      </c>
      <c r="V1" t="s">
        <v>25</v>
      </c>
      <c r="W1" t="s">
        <v>26</v>
      </c>
      <c r="X1" t="s">
        <v>219</v>
      </c>
    </row>
    <row r="2" spans="1:26" x14ac:dyDescent="0.3">
      <c r="A2" t="s">
        <v>69</v>
      </c>
      <c r="B2" t="s">
        <v>35</v>
      </c>
      <c r="C2">
        <v>410</v>
      </c>
      <c r="D2" t="s">
        <v>36</v>
      </c>
      <c r="E2" t="s">
        <v>35</v>
      </c>
      <c r="F2">
        <v>457</v>
      </c>
      <c r="G2" s="1">
        <v>1.8000000000000001E-128</v>
      </c>
      <c r="H2">
        <v>429.7</v>
      </c>
      <c r="I2">
        <v>19.399999999999999</v>
      </c>
      <c r="J2">
        <v>1</v>
      </c>
      <c r="K2">
        <v>1</v>
      </c>
      <c r="L2" s="1">
        <v>4.6999999999999997E-131</v>
      </c>
      <c r="M2" s="1">
        <v>2.2000000000000001E-128</v>
      </c>
      <c r="N2">
        <v>429.4</v>
      </c>
      <c r="O2">
        <v>19.399999999999999</v>
      </c>
      <c r="P2">
        <v>56</v>
      </c>
      <c r="Q2">
        <v>437</v>
      </c>
      <c r="R2">
        <v>37</v>
      </c>
      <c r="S2">
        <v>400</v>
      </c>
      <c r="T2">
        <v>27</v>
      </c>
      <c r="U2">
        <v>409</v>
      </c>
      <c r="V2">
        <v>0.95</v>
      </c>
      <c r="W2" t="s">
        <v>70</v>
      </c>
      <c r="X2">
        <v>12</v>
      </c>
      <c r="Y2" t="s">
        <v>227</v>
      </c>
      <c r="Z2" t="s">
        <v>228</v>
      </c>
    </row>
    <row r="3" spans="1:26" x14ac:dyDescent="0.3">
      <c r="A3" t="s">
        <v>71</v>
      </c>
      <c r="B3" t="s">
        <v>35</v>
      </c>
      <c r="C3">
        <v>383</v>
      </c>
      <c r="D3" t="s">
        <v>36</v>
      </c>
      <c r="E3" t="s">
        <v>35</v>
      </c>
      <c r="F3">
        <v>457</v>
      </c>
      <c r="G3" s="1">
        <v>1.6999999999999999E-125</v>
      </c>
      <c r="H3">
        <v>419.9</v>
      </c>
      <c r="I3">
        <v>23.2</v>
      </c>
      <c r="J3">
        <v>1</v>
      </c>
      <c r="K3">
        <v>1</v>
      </c>
      <c r="L3" s="1">
        <v>4.7000000000000004E-128</v>
      </c>
      <c r="M3" s="1">
        <v>2.1999999999999999E-125</v>
      </c>
      <c r="N3">
        <v>419.5</v>
      </c>
      <c r="O3">
        <v>23.2</v>
      </c>
      <c r="P3">
        <v>56</v>
      </c>
      <c r="Q3">
        <v>441</v>
      </c>
      <c r="R3">
        <v>8</v>
      </c>
      <c r="S3">
        <v>377</v>
      </c>
      <c r="T3">
        <v>2</v>
      </c>
      <c r="U3">
        <v>382</v>
      </c>
      <c r="V3">
        <v>0.95</v>
      </c>
      <c r="W3" t="s">
        <v>72</v>
      </c>
      <c r="X3">
        <v>12</v>
      </c>
      <c r="Y3" t="s">
        <v>229</v>
      </c>
      <c r="Z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"/>
  <sheetViews>
    <sheetView workbookViewId="0">
      <selection activeCell="W31" sqref="W31"/>
    </sheetView>
  </sheetViews>
  <sheetFormatPr defaultRowHeight="14.4" x14ac:dyDescent="0.3"/>
  <cols>
    <col min="2" max="2" width="13" hidden="1" customWidth="1"/>
    <col min="4" max="6" width="13" hidden="1" customWidth="1"/>
    <col min="8" max="22" width="13" hidden="1" customWidth="1"/>
    <col min="24" max="24" width="5.6640625" bestFit="1" customWidth="1"/>
  </cols>
  <sheetData>
    <row r="1" spans="1:26" x14ac:dyDescent="0.3">
      <c r="A1" t="s">
        <v>12</v>
      </c>
      <c r="B1" t="s">
        <v>13</v>
      </c>
      <c r="C1" t="s">
        <v>14</v>
      </c>
      <c r="D1" t="s">
        <v>15</v>
      </c>
      <c r="E1" t="s">
        <v>13</v>
      </c>
      <c r="F1" t="s">
        <v>16</v>
      </c>
      <c r="G1" t="s">
        <v>17</v>
      </c>
      <c r="H1" t="s">
        <v>18</v>
      </c>
      <c r="I1" t="s">
        <v>19</v>
      </c>
      <c r="J1" t="s">
        <v>0</v>
      </c>
      <c r="K1" t="s">
        <v>20</v>
      </c>
      <c r="L1" t="s">
        <v>21</v>
      </c>
      <c r="M1" t="s">
        <v>22</v>
      </c>
      <c r="N1" t="s">
        <v>18</v>
      </c>
      <c r="O1" t="s">
        <v>19</v>
      </c>
      <c r="P1" t="s">
        <v>23</v>
      </c>
      <c r="Q1" t="s">
        <v>24</v>
      </c>
      <c r="R1" t="s">
        <v>23</v>
      </c>
      <c r="S1" t="s">
        <v>24</v>
      </c>
      <c r="T1" t="s">
        <v>23</v>
      </c>
      <c r="U1" t="s">
        <v>24</v>
      </c>
      <c r="V1" t="s">
        <v>25</v>
      </c>
      <c r="W1" t="s">
        <v>26</v>
      </c>
      <c r="X1" t="s">
        <v>219</v>
      </c>
    </row>
    <row r="2" spans="1:26" x14ac:dyDescent="0.3">
      <c r="A2" t="s">
        <v>44</v>
      </c>
      <c r="B2" t="s">
        <v>35</v>
      </c>
      <c r="C2">
        <v>541</v>
      </c>
      <c r="D2" t="s">
        <v>36</v>
      </c>
      <c r="E2" t="s">
        <v>35</v>
      </c>
      <c r="F2">
        <v>457</v>
      </c>
      <c r="G2" s="1">
        <v>5.0999999999999998E-153</v>
      </c>
      <c r="H2">
        <v>510.6</v>
      </c>
      <c r="I2">
        <v>13.6</v>
      </c>
      <c r="J2">
        <v>1</v>
      </c>
      <c r="K2">
        <v>1</v>
      </c>
      <c r="L2" s="1">
        <v>1.4E-155</v>
      </c>
      <c r="M2" s="1">
        <v>6.5000000000000003E-153</v>
      </c>
      <c r="N2">
        <v>510.2</v>
      </c>
      <c r="O2">
        <v>13.6</v>
      </c>
      <c r="P2">
        <v>20</v>
      </c>
      <c r="Q2">
        <v>441</v>
      </c>
      <c r="R2">
        <v>19</v>
      </c>
      <c r="S2">
        <v>455</v>
      </c>
      <c r="T2">
        <v>4</v>
      </c>
      <c r="U2">
        <v>497</v>
      </c>
      <c r="V2">
        <v>0.93</v>
      </c>
      <c r="W2" t="s">
        <v>45</v>
      </c>
      <c r="X2">
        <v>14</v>
      </c>
      <c r="Y2" t="s">
        <v>231</v>
      </c>
      <c r="Z2" t="s">
        <v>232</v>
      </c>
    </row>
    <row r="3" spans="1:26" x14ac:dyDescent="0.3">
      <c r="A3" t="s">
        <v>52</v>
      </c>
      <c r="B3" t="s">
        <v>35</v>
      </c>
      <c r="C3">
        <v>546</v>
      </c>
      <c r="D3" t="s">
        <v>36</v>
      </c>
      <c r="E3" t="s">
        <v>35</v>
      </c>
      <c r="F3">
        <v>457</v>
      </c>
      <c r="G3" s="1">
        <v>1.2000000000000001E-148</v>
      </c>
      <c r="H3">
        <v>496.1</v>
      </c>
      <c r="I3">
        <v>17.5</v>
      </c>
      <c r="J3">
        <v>1</v>
      </c>
      <c r="K3">
        <v>1</v>
      </c>
      <c r="L3" s="1">
        <v>3.4000000000000003E-151</v>
      </c>
      <c r="M3" s="1">
        <v>1.6E-148</v>
      </c>
      <c r="N3">
        <v>495.8</v>
      </c>
      <c r="O3">
        <v>17.5</v>
      </c>
      <c r="P3">
        <v>8</v>
      </c>
      <c r="Q3">
        <v>439</v>
      </c>
      <c r="R3">
        <v>11</v>
      </c>
      <c r="S3">
        <v>460</v>
      </c>
      <c r="T3">
        <v>1</v>
      </c>
      <c r="U3">
        <v>479</v>
      </c>
      <c r="V3">
        <v>0.92</v>
      </c>
      <c r="W3" t="s">
        <v>53</v>
      </c>
      <c r="X3">
        <v>13</v>
      </c>
      <c r="Y3" t="s">
        <v>233</v>
      </c>
      <c r="Z3" t="s">
        <v>234</v>
      </c>
    </row>
    <row r="4" spans="1:26" x14ac:dyDescent="0.3">
      <c r="A4" t="s">
        <v>75</v>
      </c>
      <c r="B4" t="s">
        <v>35</v>
      </c>
      <c r="C4">
        <v>359</v>
      </c>
      <c r="D4" t="s">
        <v>36</v>
      </c>
      <c r="E4" t="s">
        <v>35</v>
      </c>
      <c r="F4">
        <v>457</v>
      </c>
      <c r="G4" s="1">
        <v>1.2E-99</v>
      </c>
      <c r="H4">
        <v>334.7</v>
      </c>
      <c r="I4">
        <v>8.5</v>
      </c>
      <c r="J4">
        <v>1</v>
      </c>
      <c r="K4">
        <v>1</v>
      </c>
      <c r="L4" s="1">
        <v>2.8000000000000001E-102</v>
      </c>
      <c r="M4" s="1">
        <v>1.3E-99</v>
      </c>
      <c r="N4">
        <v>334.5</v>
      </c>
      <c r="O4">
        <v>8.5</v>
      </c>
      <c r="P4">
        <v>178</v>
      </c>
      <c r="Q4">
        <v>445</v>
      </c>
      <c r="R4">
        <v>1</v>
      </c>
      <c r="S4">
        <v>283</v>
      </c>
      <c r="T4">
        <v>1</v>
      </c>
      <c r="U4">
        <v>317</v>
      </c>
      <c r="V4">
        <v>0.94</v>
      </c>
      <c r="W4" t="s">
        <v>76</v>
      </c>
      <c r="X4">
        <v>8</v>
      </c>
      <c r="Y4" t="s">
        <v>235</v>
      </c>
      <c r="Z4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2"/>
  <sheetViews>
    <sheetView workbookViewId="0">
      <selection activeCell="Z15" sqref="Z15"/>
    </sheetView>
  </sheetViews>
  <sheetFormatPr defaultRowHeight="14.4" x14ac:dyDescent="0.3"/>
  <cols>
    <col min="2" max="2" width="13" hidden="1" customWidth="1"/>
    <col min="4" max="6" width="13" hidden="1" customWidth="1"/>
    <col min="8" max="22" width="13" hidden="1" customWidth="1"/>
    <col min="24" max="24" width="5.6640625" bestFit="1" customWidth="1"/>
  </cols>
  <sheetData>
    <row r="1" spans="1:27" x14ac:dyDescent="0.3">
      <c r="A1" t="s">
        <v>12</v>
      </c>
      <c r="B1" t="s">
        <v>13</v>
      </c>
      <c r="C1" t="s">
        <v>14</v>
      </c>
      <c r="D1" t="s">
        <v>15</v>
      </c>
      <c r="E1" t="s">
        <v>13</v>
      </c>
      <c r="F1" t="s">
        <v>16</v>
      </c>
      <c r="G1" t="s">
        <v>17</v>
      </c>
      <c r="H1" t="s">
        <v>18</v>
      </c>
      <c r="I1" t="s">
        <v>19</v>
      </c>
      <c r="J1" t="s">
        <v>0</v>
      </c>
      <c r="K1" t="s">
        <v>20</v>
      </c>
      <c r="L1" t="s">
        <v>21</v>
      </c>
      <c r="M1" t="s">
        <v>22</v>
      </c>
      <c r="N1" t="s">
        <v>18</v>
      </c>
      <c r="O1" t="s">
        <v>19</v>
      </c>
      <c r="P1" t="s">
        <v>23</v>
      </c>
      <c r="Q1" t="s">
        <v>24</v>
      </c>
      <c r="R1" t="s">
        <v>23</v>
      </c>
      <c r="S1" t="s">
        <v>24</v>
      </c>
      <c r="T1" t="s">
        <v>23</v>
      </c>
      <c r="U1" t="s">
        <v>24</v>
      </c>
      <c r="V1" t="s">
        <v>25</v>
      </c>
      <c r="W1" t="s">
        <v>26</v>
      </c>
      <c r="X1" t="s">
        <v>219</v>
      </c>
    </row>
    <row r="2" spans="1:27" x14ac:dyDescent="0.3">
      <c r="A2" t="s">
        <v>42</v>
      </c>
      <c r="B2" t="s">
        <v>35</v>
      </c>
      <c r="C2">
        <v>508</v>
      </c>
      <c r="D2" t="s">
        <v>36</v>
      </c>
      <c r="E2" t="s">
        <v>35</v>
      </c>
      <c r="F2">
        <v>457</v>
      </c>
      <c r="G2" s="1">
        <v>1.9000000000000001E-153</v>
      </c>
      <c r="H2">
        <v>512</v>
      </c>
      <c r="I2">
        <v>9.8000000000000007</v>
      </c>
      <c r="J2">
        <v>1</v>
      </c>
      <c r="K2">
        <v>1</v>
      </c>
      <c r="L2" s="1">
        <v>5.0999999999999996E-156</v>
      </c>
      <c r="M2" s="1">
        <v>2.4000000000000002E-153</v>
      </c>
      <c r="N2">
        <v>511.7</v>
      </c>
      <c r="O2">
        <v>9.8000000000000007</v>
      </c>
      <c r="P2">
        <v>9</v>
      </c>
      <c r="Q2">
        <v>442</v>
      </c>
      <c r="R2">
        <v>16</v>
      </c>
      <c r="S2">
        <v>460</v>
      </c>
      <c r="T2">
        <v>5</v>
      </c>
      <c r="U2">
        <v>495</v>
      </c>
      <c r="V2">
        <v>0.9</v>
      </c>
      <c r="W2" t="s">
        <v>43</v>
      </c>
      <c r="X2">
        <v>14</v>
      </c>
      <c r="Y2" t="s">
        <v>237</v>
      </c>
      <c r="Z2" t="s">
        <v>238</v>
      </c>
    </row>
    <row r="3" spans="1:27" x14ac:dyDescent="0.3">
      <c r="A3" t="s">
        <v>34</v>
      </c>
      <c r="B3" t="s">
        <v>35</v>
      </c>
      <c r="C3">
        <v>519</v>
      </c>
      <c r="D3" t="s">
        <v>36</v>
      </c>
      <c r="E3" t="s">
        <v>35</v>
      </c>
      <c r="F3">
        <v>457</v>
      </c>
      <c r="G3" s="1">
        <v>2.2000000000000001E-154</v>
      </c>
      <c r="H3">
        <v>515.1</v>
      </c>
      <c r="I3">
        <v>7.9</v>
      </c>
      <c r="J3">
        <v>1</v>
      </c>
      <c r="K3">
        <v>1</v>
      </c>
      <c r="L3" s="1">
        <v>5.6000000000000002E-157</v>
      </c>
      <c r="M3" s="1">
        <v>2.6999999999999999E-154</v>
      </c>
      <c r="N3">
        <v>514.79999999999995</v>
      </c>
      <c r="O3">
        <v>7.9</v>
      </c>
      <c r="P3">
        <v>10</v>
      </c>
      <c r="Q3">
        <v>442</v>
      </c>
      <c r="R3">
        <v>8</v>
      </c>
      <c r="S3">
        <v>449</v>
      </c>
      <c r="T3">
        <v>1</v>
      </c>
      <c r="U3">
        <v>490</v>
      </c>
      <c r="V3">
        <v>0.91</v>
      </c>
      <c r="W3" t="s">
        <v>37</v>
      </c>
      <c r="X3">
        <v>15</v>
      </c>
      <c r="Y3" t="s">
        <v>239</v>
      </c>
      <c r="Z3" t="s">
        <v>240</v>
      </c>
    </row>
    <row r="4" spans="1:27" x14ac:dyDescent="0.3">
      <c r="A4" t="s">
        <v>38</v>
      </c>
      <c r="B4" t="s">
        <v>35</v>
      </c>
      <c r="C4">
        <v>519</v>
      </c>
      <c r="D4" t="s">
        <v>36</v>
      </c>
      <c r="E4" t="s">
        <v>35</v>
      </c>
      <c r="F4">
        <v>457</v>
      </c>
      <c r="G4" s="1">
        <v>2.2000000000000001E-154</v>
      </c>
      <c r="H4">
        <v>515.1</v>
      </c>
      <c r="I4">
        <v>7.9</v>
      </c>
      <c r="J4">
        <v>1</v>
      </c>
      <c r="K4">
        <v>1</v>
      </c>
      <c r="L4" s="1">
        <v>5.6000000000000002E-157</v>
      </c>
      <c r="M4" s="1">
        <v>2.6999999999999999E-154</v>
      </c>
      <c r="N4">
        <v>514.79999999999995</v>
      </c>
      <c r="O4">
        <v>7.9</v>
      </c>
      <c r="P4">
        <v>10</v>
      </c>
      <c r="Q4">
        <v>442</v>
      </c>
      <c r="R4">
        <v>8</v>
      </c>
      <c r="S4">
        <v>449</v>
      </c>
      <c r="T4">
        <v>1</v>
      </c>
      <c r="U4">
        <v>490</v>
      </c>
      <c r="V4">
        <v>0.91</v>
      </c>
      <c r="W4" t="s">
        <v>37</v>
      </c>
      <c r="X4">
        <v>16</v>
      </c>
      <c r="Y4" t="s">
        <v>239</v>
      </c>
      <c r="AA4" t="s">
        <v>222</v>
      </c>
    </row>
    <row r="5" spans="1:27" x14ac:dyDescent="0.3">
      <c r="A5" t="s">
        <v>39</v>
      </c>
      <c r="B5" t="s">
        <v>35</v>
      </c>
      <c r="C5">
        <v>519</v>
      </c>
      <c r="D5" t="s">
        <v>36</v>
      </c>
      <c r="E5" t="s">
        <v>35</v>
      </c>
      <c r="F5">
        <v>457</v>
      </c>
      <c r="G5" s="1">
        <v>2.2000000000000001E-154</v>
      </c>
      <c r="H5">
        <v>515.1</v>
      </c>
      <c r="I5">
        <v>7.9</v>
      </c>
      <c r="J5">
        <v>1</v>
      </c>
      <c r="K5">
        <v>1</v>
      </c>
      <c r="L5" s="1">
        <v>5.6000000000000002E-157</v>
      </c>
      <c r="M5" s="1">
        <v>2.6999999999999999E-154</v>
      </c>
      <c r="N5">
        <v>514.79999999999995</v>
      </c>
      <c r="O5">
        <v>7.9</v>
      </c>
      <c r="P5">
        <v>10</v>
      </c>
      <c r="Q5">
        <v>442</v>
      </c>
      <c r="R5">
        <v>8</v>
      </c>
      <c r="S5">
        <v>449</v>
      </c>
      <c r="T5">
        <v>1</v>
      </c>
      <c r="U5">
        <v>490</v>
      </c>
      <c r="V5">
        <v>0.91</v>
      </c>
      <c r="W5" t="s">
        <v>37</v>
      </c>
      <c r="X5">
        <v>15</v>
      </c>
      <c r="Y5" t="s">
        <v>239</v>
      </c>
      <c r="AA5" t="s">
        <v>222</v>
      </c>
    </row>
    <row r="6" spans="1:27" x14ac:dyDescent="0.3">
      <c r="A6" t="s">
        <v>40</v>
      </c>
      <c r="B6" t="s">
        <v>35</v>
      </c>
      <c r="C6">
        <v>519</v>
      </c>
      <c r="D6" t="s">
        <v>36</v>
      </c>
      <c r="E6" t="s">
        <v>35</v>
      </c>
      <c r="F6">
        <v>457</v>
      </c>
      <c r="G6" s="1">
        <v>2.2000000000000001E-154</v>
      </c>
      <c r="H6">
        <v>515.1</v>
      </c>
      <c r="I6">
        <v>7.9</v>
      </c>
      <c r="J6">
        <v>1</v>
      </c>
      <c r="K6">
        <v>1</v>
      </c>
      <c r="L6" s="1">
        <v>5.6000000000000002E-157</v>
      </c>
      <c r="M6" s="1">
        <v>2.6999999999999999E-154</v>
      </c>
      <c r="N6">
        <v>514.79999999999995</v>
      </c>
      <c r="O6">
        <v>7.9</v>
      </c>
      <c r="P6">
        <v>10</v>
      </c>
      <c r="Q6">
        <v>442</v>
      </c>
      <c r="R6">
        <v>8</v>
      </c>
      <c r="S6">
        <v>449</v>
      </c>
      <c r="T6">
        <v>1</v>
      </c>
      <c r="U6">
        <v>490</v>
      </c>
      <c r="V6">
        <v>0.91</v>
      </c>
      <c r="W6" t="s">
        <v>37</v>
      </c>
      <c r="X6">
        <v>14</v>
      </c>
      <c r="Y6" t="s">
        <v>239</v>
      </c>
      <c r="AA6" t="s">
        <v>222</v>
      </c>
    </row>
    <row r="7" spans="1:27" x14ac:dyDescent="0.3">
      <c r="A7" t="s">
        <v>41</v>
      </c>
      <c r="B7" t="s">
        <v>35</v>
      </c>
      <c r="C7">
        <v>519</v>
      </c>
      <c r="D7" t="s">
        <v>36</v>
      </c>
      <c r="E7" t="s">
        <v>35</v>
      </c>
      <c r="F7">
        <v>457</v>
      </c>
      <c r="G7" s="1">
        <v>2.2000000000000001E-154</v>
      </c>
      <c r="H7">
        <v>515.1</v>
      </c>
      <c r="I7">
        <v>7.9</v>
      </c>
      <c r="J7">
        <v>1</v>
      </c>
      <c r="K7">
        <v>1</v>
      </c>
      <c r="L7" s="1">
        <v>5.6000000000000002E-157</v>
      </c>
      <c r="M7" s="1">
        <v>2.6999999999999999E-154</v>
      </c>
      <c r="N7">
        <v>514.79999999999995</v>
      </c>
      <c r="O7">
        <v>7.9</v>
      </c>
      <c r="P7">
        <v>10</v>
      </c>
      <c r="Q7">
        <v>442</v>
      </c>
      <c r="R7">
        <v>8</v>
      </c>
      <c r="S7">
        <v>449</v>
      </c>
      <c r="T7">
        <v>1</v>
      </c>
      <c r="U7">
        <v>490</v>
      </c>
      <c r="V7">
        <v>0.91</v>
      </c>
      <c r="W7" t="s">
        <v>37</v>
      </c>
      <c r="X7">
        <v>16</v>
      </c>
      <c r="Y7" t="s">
        <v>239</v>
      </c>
      <c r="AA7" t="s">
        <v>222</v>
      </c>
    </row>
    <row r="8" spans="1:27" x14ac:dyDescent="0.3">
      <c r="A8" t="s">
        <v>67</v>
      </c>
      <c r="B8" t="s">
        <v>35</v>
      </c>
      <c r="C8">
        <v>505</v>
      </c>
      <c r="D8" t="s">
        <v>36</v>
      </c>
      <c r="E8" t="s">
        <v>35</v>
      </c>
      <c r="F8">
        <v>457</v>
      </c>
      <c r="G8" s="1">
        <v>5.8999999999999997E-135</v>
      </c>
      <c r="H8">
        <v>451</v>
      </c>
      <c r="I8">
        <v>13.5</v>
      </c>
      <c r="J8">
        <v>1</v>
      </c>
      <c r="K8">
        <v>1</v>
      </c>
      <c r="L8" s="1">
        <v>6.1000000000000001E-137</v>
      </c>
      <c r="M8" s="1">
        <v>2.8999999999999999E-134</v>
      </c>
      <c r="N8">
        <v>448.8</v>
      </c>
      <c r="O8">
        <v>13.4</v>
      </c>
      <c r="P8">
        <v>10</v>
      </c>
      <c r="Q8">
        <v>442</v>
      </c>
      <c r="R8">
        <v>8</v>
      </c>
      <c r="S8">
        <v>434</v>
      </c>
      <c r="T8">
        <v>1</v>
      </c>
      <c r="U8">
        <v>468</v>
      </c>
      <c r="V8">
        <v>0.9</v>
      </c>
      <c r="W8" t="s">
        <v>68</v>
      </c>
      <c r="X8">
        <v>14</v>
      </c>
      <c r="Y8" t="s">
        <v>239</v>
      </c>
      <c r="AA8" t="s">
        <v>222</v>
      </c>
    </row>
    <row r="9" spans="1:27" x14ac:dyDescent="0.3">
      <c r="A9" t="s">
        <v>73</v>
      </c>
      <c r="B9" t="s">
        <v>35</v>
      </c>
      <c r="C9">
        <v>466</v>
      </c>
      <c r="D9" t="s">
        <v>36</v>
      </c>
      <c r="E9" t="s">
        <v>35</v>
      </c>
      <c r="F9">
        <v>457</v>
      </c>
      <c r="G9" s="1">
        <v>1.5999999999999999E-123</v>
      </c>
      <c r="H9">
        <v>413.4</v>
      </c>
      <c r="I9">
        <v>3.5</v>
      </c>
      <c r="J9">
        <v>1</v>
      </c>
      <c r="K9">
        <v>2</v>
      </c>
      <c r="L9" s="1">
        <v>2.3E-95</v>
      </c>
      <c r="M9" s="1">
        <v>1.0999999999999999E-92</v>
      </c>
      <c r="N9">
        <v>311.7</v>
      </c>
      <c r="O9">
        <v>0.7</v>
      </c>
      <c r="P9">
        <v>10</v>
      </c>
      <c r="Q9">
        <v>287</v>
      </c>
      <c r="R9">
        <v>8</v>
      </c>
      <c r="S9">
        <v>289</v>
      </c>
      <c r="T9">
        <v>1</v>
      </c>
      <c r="U9">
        <v>289</v>
      </c>
      <c r="V9">
        <v>0.93</v>
      </c>
      <c r="W9" t="s">
        <v>74</v>
      </c>
      <c r="X9">
        <v>13</v>
      </c>
      <c r="Y9" t="s">
        <v>239</v>
      </c>
      <c r="AA9" t="s">
        <v>222</v>
      </c>
    </row>
    <row r="10" spans="1:27" x14ac:dyDescent="0.3">
      <c r="A10" t="s">
        <v>73</v>
      </c>
      <c r="B10" t="s">
        <v>35</v>
      </c>
      <c r="C10">
        <v>466</v>
      </c>
      <c r="D10" t="s">
        <v>36</v>
      </c>
      <c r="E10" t="s">
        <v>35</v>
      </c>
      <c r="F10">
        <v>457</v>
      </c>
      <c r="G10" s="1">
        <v>1.5999999999999999E-123</v>
      </c>
      <c r="H10">
        <v>413.4</v>
      </c>
      <c r="I10">
        <v>3.5</v>
      </c>
      <c r="J10">
        <v>2</v>
      </c>
      <c r="K10">
        <v>2</v>
      </c>
      <c r="L10" s="1">
        <v>2.9E-32</v>
      </c>
      <c r="M10" s="1">
        <v>1.4000000000000001E-29</v>
      </c>
      <c r="N10">
        <v>103.7</v>
      </c>
      <c r="O10">
        <v>0.1</v>
      </c>
      <c r="P10">
        <v>340</v>
      </c>
      <c r="Q10">
        <v>442</v>
      </c>
      <c r="R10">
        <v>289</v>
      </c>
      <c r="S10">
        <v>395</v>
      </c>
      <c r="T10">
        <v>287</v>
      </c>
      <c r="U10">
        <v>421</v>
      </c>
      <c r="V10">
        <v>0.81</v>
      </c>
      <c r="W10" t="s">
        <v>74</v>
      </c>
      <c r="X10">
        <v>13</v>
      </c>
      <c r="Y10" t="s">
        <v>239</v>
      </c>
      <c r="AA10" t="s">
        <v>222</v>
      </c>
    </row>
    <row r="11" spans="1:27" x14ac:dyDescent="0.3">
      <c r="A11" t="s">
        <v>61</v>
      </c>
      <c r="B11" t="s">
        <v>35</v>
      </c>
      <c r="C11">
        <v>452</v>
      </c>
      <c r="D11" t="s">
        <v>36</v>
      </c>
      <c r="E11" t="s">
        <v>35</v>
      </c>
      <c r="F11">
        <v>457</v>
      </c>
      <c r="G11" s="1">
        <v>4.1999999999999998E-137</v>
      </c>
      <c r="H11">
        <v>458.1</v>
      </c>
      <c r="I11">
        <v>17.3</v>
      </c>
      <c r="J11">
        <v>1</v>
      </c>
      <c r="K11">
        <v>1</v>
      </c>
      <c r="L11" s="1">
        <v>1.1000000000000001E-139</v>
      </c>
      <c r="M11" s="1">
        <v>5E-137</v>
      </c>
      <c r="N11">
        <v>457.9</v>
      </c>
      <c r="O11">
        <v>17.3</v>
      </c>
      <c r="P11">
        <v>22</v>
      </c>
      <c r="Q11">
        <v>417</v>
      </c>
      <c r="R11">
        <v>44</v>
      </c>
      <c r="S11">
        <v>447</v>
      </c>
      <c r="T11">
        <v>20</v>
      </c>
      <c r="U11">
        <v>452</v>
      </c>
      <c r="V11">
        <v>0.94</v>
      </c>
      <c r="W11" t="s">
        <v>62</v>
      </c>
      <c r="X11">
        <v>14</v>
      </c>
      <c r="Y11" t="s">
        <v>241</v>
      </c>
      <c r="Z11" t="s">
        <v>242</v>
      </c>
    </row>
    <row r="12" spans="1:27" x14ac:dyDescent="0.3">
      <c r="A12" t="s">
        <v>65</v>
      </c>
      <c r="B12" t="s">
        <v>35</v>
      </c>
      <c r="C12">
        <v>500</v>
      </c>
      <c r="D12" t="s">
        <v>36</v>
      </c>
      <c r="E12" t="s">
        <v>35</v>
      </c>
      <c r="F12">
        <v>457</v>
      </c>
      <c r="G12" s="1">
        <v>9.1000000000000008E-137</v>
      </c>
      <c r="H12">
        <v>457</v>
      </c>
      <c r="I12">
        <v>15.1</v>
      </c>
      <c r="J12">
        <v>1</v>
      </c>
      <c r="K12">
        <v>1</v>
      </c>
      <c r="L12" s="1">
        <v>2.4000000000000001E-139</v>
      </c>
      <c r="M12" s="1">
        <v>1.1999999999999999E-136</v>
      </c>
      <c r="N12">
        <v>456.7</v>
      </c>
      <c r="O12">
        <v>15.1</v>
      </c>
      <c r="P12">
        <v>26</v>
      </c>
      <c r="Q12">
        <v>418</v>
      </c>
      <c r="R12">
        <v>11</v>
      </c>
      <c r="S12">
        <v>412</v>
      </c>
      <c r="T12">
        <v>2</v>
      </c>
      <c r="U12">
        <v>451</v>
      </c>
      <c r="V12">
        <v>0.93</v>
      </c>
      <c r="W12" t="s">
        <v>66</v>
      </c>
      <c r="X12">
        <v>14</v>
      </c>
      <c r="Y12" t="s">
        <v>243</v>
      </c>
      <c r="Z12" t="s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"/>
  <sheetViews>
    <sheetView tabSelected="1" workbookViewId="0">
      <selection activeCell="AC14" sqref="AC14"/>
    </sheetView>
  </sheetViews>
  <sheetFormatPr defaultRowHeight="14.4" x14ac:dyDescent="0.3"/>
  <cols>
    <col min="1" max="1" width="14.5546875" bestFit="1" customWidth="1"/>
    <col min="2" max="2" width="13" hidden="1" customWidth="1"/>
    <col min="4" max="6" width="13" hidden="1" customWidth="1"/>
    <col min="7" max="7" width="8.21875" bestFit="1" customWidth="1"/>
    <col min="8" max="21" width="13" hidden="1" customWidth="1"/>
    <col min="22" max="22" width="5" hidden="1" customWidth="1"/>
    <col min="24" max="24" width="5.6640625" bestFit="1" customWidth="1"/>
  </cols>
  <sheetData>
    <row r="1" spans="1:26" x14ac:dyDescent="0.3">
      <c r="A1" t="s">
        <v>12</v>
      </c>
      <c r="B1" t="s">
        <v>13</v>
      </c>
      <c r="C1" t="s">
        <v>14</v>
      </c>
      <c r="D1" t="s">
        <v>15</v>
      </c>
      <c r="E1" t="s">
        <v>13</v>
      </c>
      <c r="F1" t="s">
        <v>16</v>
      </c>
      <c r="G1" t="s">
        <v>17</v>
      </c>
      <c r="H1" t="s">
        <v>18</v>
      </c>
      <c r="I1" t="s">
        <v>19</v>
      </c>
      <c r="J1" t="s">
        <v>0</v>
      </c>
      <c r="K1" t="s">
        <v>20</v>
      </c>
      <c r="L1" t="s">
        <v>21</v>
      </c>
      <c r="M1" t="s">
        <v>22</v>
      </c>
      <c r="N1" t="s">
        <v>18</v>
      </c>
      <c r="O1" t="s">
        <v>19</v>
      </c>
      <c r="P1" t="s">
        <v>23</v>
      </c>
      <c r="Q1" t="s">
        <v>24</v>
      </c>
      <c r="R1" t="s">
        <v>23</v>
      </c>
      <c r="S1" t="s">
        <v>24</v>
      </c>
      <c r="T1" t="s">
        <v>23</v>
      </c>
      <c r="U1" t="s">
        <v>24</v>
      </c>
      <c r="V1" t="s">
        <v>25</v>
      </c>
      <c r="W1" t="s">
        <v>26</v>
      </c>
      <c r="X1" t="s">
        <v>219</v>
      </c>
    </row>
    <row r="2" spans="1:26" x14ac:dyDescent="0.3">
      <c r="A2" t="s">
        <v>50</v>
      </c>
      <c r="B2" t="s">
        <v>35</v>
      </c>
      <c r="C2">
        <v>446</v>
      </c>
      <c r="D2" t="s">
        <v>36</v>
      </c>
      <c r="E2" t="s">
        <v>35</v>
      </c>
      <c r="F2">
        <v>457</v>
      </c>
      <c r="G2" s="1">
        <v>1.1000000000000001E-148</v>
      </c>
      <c r="H2">
        <v>496.3</v>
      </c>
      <c r="I2">
        <v>10</v>
      </c>
      <c r="J2">
        <v>1</v>
      </c>
      <c r="K2">
        <v>1</v>
      </c>
      <c r="L2" s="1">
        <v>3.0000000000000002E-151</v>
      </c>
      <c r="M2" s="1">
        <v>1.4E-148</v>
      </c>
      <c r="N2">
        <v>495.9</v>
      </c>
      <c r="O2">
        <v>10</v>
      </c>
      <c r="P2">
        <v>23</v>
      </c>
      <c r="Q2">
        <v>439</v>
      </c>
      <c r="R2">
        <v>10</v>
      </c>
      <c r="S2">
        <v>424</v>
      </c>
      <c r="T2">
        <v>4</v>
      </c>
      <c r="U2">
        <v>444</v>
      </c>
      <c r="V2">
        <v>0.9</v>
      </c>
      <c r="W2" t="s">
        <v>51</v>
      </c>
      <c r="X2">
        <v>13</v>
      </c>
      <c r="Y2" t="s">
        <v>245</v>
      </c>
      <c r="Z2" t="s">
        <v>246</v>
      </c>
    </row>
    <row r="3" spans="1:26" x14ac:dyDescent="0.3">
      <c r="A3" t="s">
        <v>54</v>
      </c>
      <c r="B3" t="s">
        <v>35</v>
      </c>
      <c r="C3">
        <v>444</v>
      </c>
      <c r="D3" t="s">
        <v>36</v>
      </c>
      <c r="E3" t="s">
        <v>35</v>
      </c>
      <c r="F3">
        <v>457</v>
      </c>
      <c r="G3" s="1">
        <v>2.0000000000000001E-146</v>
      </c>
      <c r="H3">
        <v>488.8</v>
      </c>
      <c r="I3">
        <v>18.8</v>
      </c>
      <c r="J3">
        <v>1</v>
      </c>
      <c r="K3">
        <v>1</v>
      </c>
      <c r="L3" s="1">
        <v>4.9999999999999997E-149</v>
      </c>
      <c r="M3" s="1">
        <v>2.4000000000000002E-146</v>
      </c>
      <c r="N3">
        <v>488.6</v>
      </c>
      <c r="O3">
        <v>18.8</v>
      </c>
      <c r="P3">
        <v>19</v>
      </c>
      <c r="Q3">
        <v>442</v>
      </c>
      <c r="R3">
        <v>15</v>
      </c>
      <c r="S3">
        <v>428</v>
      </c>
      <c r="T3">
        <v>1</v>
      </c>
      <c r="U3">
        <v>442</v>
      </c>
      <c r="V3">
        <v>0.92</v>
      </c>
      <c r="W3" t="s">
        <v>55</v>
      </c>
      <c r="X3">
        <v>13</v>
      </c>
      <c r="Y3" t="s">
        <v>247</v>
      </c>
      <c r="Z3" t="s">
        <v>248</v>
      </c>
    </row>
    <row r="4" spans="1:26" x14ac:dyDescent="0.3">
      <c r="A4" t="s">
        <v>57</v>
      </c>
      <c r="B4" t="s">
        <v>35</v>
      </c>
      <c r="C4">
        <v>451</v>
      </c>
      <c r="D4" t="s">
        <v>36</v>
      </c>
      <c r="E4" t="s">
        <v>35</v>
      </c>
      <c r="F4">
        <v>457</v>
      </c>
      <c r="G4" s="1">
        <v>7.0999999999999999E-140</v>
      </c>
      <c r="H4">
        <v>467.2</v>
      </c>
      <c r="I4">
        <v>15.1</v>
      </c>
      <c r="J4">
        <v>1</v>
      </c>
      <c r="K4">
        <v>1</v>
      </c>
      <c r="L4" s="1">
        <v>2.0000000000000001E-142</v>
      </c>
      <c r="M4" s="1">
        <v>9.4000000000000009E-140</v>
      </c>
      <c r="N4">
        <v>466.9</v>
      </c>
      <c r="O4">
        <v>15.1</v>
      </c>
      <c r="P4">
        <v>37</v>
      </c>
      <c r="Q4">
        <v>443</v>
      </c>
      <c r="R4">
        <v>7</v>
      </c>
      <c r="S4">
        <v>436</v>
      </c>
      <c r="T4">
        <v>2</v>
      </c>
      <c r="U4">
        <v>448</v>
      </c>
      <c r="V4">
        <v>0.94</v>
      </c>
      <c r="W4" t="s">
        <v>58</v>
      </c>
      <c r="X4">
        <v>13</v>
      </c>
      <c r="Y4" t="s">
        <v>249</v>
      </c>
      <c r="Z4" t="s">
        <v>250</v>
      </c>
    </row>
    <row r="5" spans="1:26" x14ac:dyDescent="0.3">
      <c r="A5" t="s">
        <v>59</v>
      </c>
      <c r="B5" t="s">
        <v>35</v>
      </c>
      <c r="C5">
        <v>440</v>
      </c>
      <c r="D5" t="s">
        <v>36</v>
      </c>
      <c r="E5" t="s">
        <v>35</v>
      </c>
      <c r="F5">
        <v>457</v>
      </c>
      <c r="G5" s="1">
        <v>1.8E-137</v>
      </c>
      <c r="H5">
        <v>459.3</v>
      </c>
      <c r="I5">
        <v>17.7</v>
      </c>
      <c r="J5">
        <v>1</v>
      </c>
      <c r="K5">
        <v>1</v>
      </c>
      <c r="L5" s="1">
        <v>4.2000000000000003E-140</v>
      </c>
      <c r="M5" s="1">
        <v>2E-137</v>
      </c>
      <c r="N5">
        <v>459.2</v>
      </c>
      <c r="O5">
        <v>17.7</v>
      </c>
      <c r="P5">
        <v>25</v>
      </c>
      <c r="Q5">
        <v>436</v>
      </c>
      <c r="R5">
        <v>19</v>
      </c>
      <c r="S5">
        <v>420</v>
      </c>
      <c r="T5">
        <v>1</v>
      </c>
      <c r="U5">
        <v>439</v>
      </c>
      <c r="V5">
        <v>0.91</v>
      </c>
      <c r="W5" t="s">
        <v>60</v>
      </c>
      <c r="X5">
        <v>13</v>
      </c>
      <c r="Y5" t="s">
        <v>251</v>
      </c>
      <c r="Z5" t="s">
        <v>252</v>
      </c>
    </row>
    <row r="6" spans="1:26" x14ac:dyDescent="0.3">
      <c r="A6" t="s">
        <v>63</v>
      </c>
      <c r="B6" t="s">
        <v>35</v>
      </c>
      <c r="C6">
        <v>416</v>
      </c>
      <c r="D6" t="s">
        <v>36</v>
      </c>
      <c r="E6" t="s">
        <v>35</v>
      </c>
      <c r="F6">
        <v>457</v>
      </c>
      <c r="G6" s="1">
        <v>4.8999999999999996E-137</v>
      </c>
      <c r="H6">
        <v>457.9</v>
      </c>
      <c r="I6">
        <v>18</v>
      </c>
      <c r="J6">
        <v>1</v>
      </c>
      <c r="K6">
        <v>1</v>
      </c>
      <c r="L6" s="1">
        <v>1.2000000000000001E-139</v>
      </c>
      <c r="M6" s="1">
        <v>5.5999999999999998E-137</v>
      </c>
      <c r="N6">
        <v>457.7</v>
      </c>
      <c r="O6">
        <v>18</v>
      </c>
      <c r="P6">
        <v>22</v>
      </c>
      <c r="Q6">
        <v>416</v>
      </c>
      <c r="R6">
        <v>20</v>
      </c>
      <c r="S6">
        <v>400</v>
      </c>
      <c r="T6">
        <v>1</v>
      </c>
      <c r="U6">
        <v>414</v>
      </c>
      <c r="V6">
        <v>0.92</v>
      </c>
      <c r="W6" t="s">
        <v>64</v>
      </c>
      <c r="X6">
        <v>13</v>
      </c>
      <c r="Y6" t="s">
        <v>253</v>
      </c>
      <c r="Z6" t="s">
        <v>254</v>
      </c>
    </row>
    <row r="7" spans="1:26" x14ac:dyDescent="0.3">
      <c r="A7" t="s">
        <v>77</v>
      </c>
      <c r="B7" t="s">
        <v>35</v>
      </c>
      <c r="C7">
        <v>280</v>
      </c>
      <c r="D7" t="s">
        <v>36</v>
      </c>
      <c r="E7" t="s">
        <v>35</v>
      </c>
      <c r="F7">
        <v>457</v>
      </c>
      <c r="G7" s="1">
        <v>6.3999999999999999E-94</v>
      </c>
      <c r="H7">
        <v>315.8</v>
      </c>
      <c r="I7">
        <v>7</v>
      </c>
      <c r="J7">
        <v>1</v>
      </c>
      <c r="K7">
        <v>1</v>
      </c>
      <c r="L7" s="1">
        <v>1.5000000000000001E-96</v>
      </c>
      <c r="M7" s="1">
        <v>7.3999999999999996E-94</v>
      </c>
      <c r="N7">
        <v>315.60000000000002</v>
      </c>
      <c r="O7">
        <v>7</v>
      </c>
      <c r="P7">
        <v>178</v>
      </c>
      <c r="Q7">
        <v>438</v>
      </c>
      <c r="R7">
        <v>1</v>
      </c>
      <c r="S7">
        <v>257</v>
      </c>
      <c r="T7">
        <v>1</v>
      </c>
      <c r="U7">
        <v>275</v>
      </c>
      <c r="V7">
        <v>0.94</v>
      </c>
      <c r="W7" t="s">
        <v>55</v>
      </c>
      <c r="X7">
        <v>8</v>
      </c>
      <c r="Y7" t="s">
        <v>255</v>
      </c>
      <c r="Z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</vt:lpstr>
      <vt:lpstr>CALCR</vt:lpstr>
      <vt:lpstr>CRHR</vt:lpstr>
      <vt:lpstr>PTHR</vt:lpstr>
      <vt:lpstr>GCGR</vt:lpstr>
      <vt:lpstr>VIP SCRT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Saque</dc:creator>
  <cp:lastModifiedBy>MOISÉS NOEL SAQUE PEREIRA ANTUNES</cp:lastModifiedBy>
  <dcterms:created xsi:type="dcterms:W3CDTF">2026-01-28T20:29:58Z</dcterms:created>
  <dcterms:modified xsi:type="dcterms:W3CDTF">2026-01-29T23:07:11Z</dcterms:modified>
</cp:coreProperties>
</file>