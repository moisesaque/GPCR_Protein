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lg365-my.sharepoint.com/personal/a71548_ualg_pt/Documents/Biotec 2/GProtein/"/>
    </mc:Choice>
  </mc:AlternateContent>
  <xr:revisionPtr revIDLastSave="71" documentId="8_{9F2222A6-9CAB-4B01-A3B4-A2C2577F3351}" xr6:coauthVersionLast="47" xr6:coauthVersionMax="47" xr10:uidLastSave="{5B7A5AA9-5116-4C27-AF9F-1FD6E046B1CB}"/>
  <bookViews>
    <workbookView xWindow="60" yWindow="1488" windowWidth="23040" windowHeight="11700" tabRatio="690" xr2:uid="{386F6B45-A003-4401-A777-CDB5B66D2CAB}"/>
  </bookViews>
  <sheets>
    <sheet name="Start" sheetId="1" r:id="rId1"/>
    <sheet name="SCTR" sheetId="18" r:id="rId2"/>
    <sheet name="GCGR" sheetId="6" r:id="rId3"/>
    <sheet name="GIPR" sheetId="19" r:id="rId4"/>
    <sheet name="GLP1R" sheetId="20" r:id="rId5"/>
    <sheet name="GLP2R" sheetId="21" r:id="rId6"/>
    <sheet name="CALCR" sheetId="3" r:id="rId7"/>
    <sheet name="CALCRL" sheetId="8" r:id="rId8"/>
    <sheet name="GHRHR" sheetId="22" r:id="rId9"/>
    <sheet name="PTHR1R" sheetId="5" r:id="rId10"/>
    <sheet name="PTHR2R" sheetId="15" r:id="rId11"/>
    <sheet name="CRHR1" sheetId="4" r:id="rId12"/>
    <sheet name="CRHR2" sheetId="14" r:id="rId13"/>
    <sheet name="ADCYAP1R1" sheetId="12" r:id="rId14"/>
    <sheet name="VIPR1" sheetId="7" r:id="rId15"/>
    <sheet name="VIPR2" sheetId="11" r:id="rId16"/>
    <sheet name="VIPRL" sheetId="2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  <c r="L1" i="1" a="1"/>
  <c r="L1" i="1" s="1"/>
  <c r="P111" i="1" a="1"/>
  <c r="P111" i="1" s="1"/>
  <c r="R1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<sst xmlns="http://schemas.openxmlformats.org/spreadsheetml/2006/main" count="1005" uniqueCount="242">
  <si>
    <t>#</t>
  </si>
  <si>
    <t># [ok]</t>
  </si>
  <si>
    <t>sequen</t>
  </si>
  <si>
    <t>ce ---</t>
  </si>
  <si>
    <t>---</t>
  </si>
  <si>
    <t>----</t>
  </si>
  <si>
    <t>is domain</t>
  </si>
  <si>
    <t>-------</t>
  </si>
  <si>
    <t>------</t>
  </si>
  <si>
    <t>hmm</t>
  </si>
  <si>
    <t>coord</t>
  </si>
  <si>
    <t>ali</t>
  </si>
  <si>
    <t>env</t>
  </si>
  <si>
    <t># target name</t>
  </si>
  <si>
    <t>accession</t>
  </si>
  <si>
    <t>tlen</t>
  </si>
  <si>
    <t>query name</t>
  </si>
  <si>
    <t>qlen</t>
  </si>
  <si>
    <t>E-value</t>
  </si>
  <si>
    <t>score</t>
  </si>
  <si>
    <t>bias</t>
  </si>
  <si>
    <t>of</t>
  </si>
  <si>
    <t>c-Evalue</t>
  </si>
  <si>
    <t>i-Evalue</t>
  </si>
  <si>
    <t>from</t>
  </si>
  <si>
    <t>to</t>
  </si>
  <si>
    <t>acc</t>
  </si>
  <si>
    <t>description of target</t>
  </si>
  <si>
    <t>#-----------------</t>
  </si>
  <si>
    <t>-- ----------</t>
  </si>
  <si>
    <t>-----</t>
  </si>
  <si>
    <t>--------------------</t>
  </si>
  <si>
    <t>----------</t>
  </si>
  <si>
    <t>---------</t>
  </si>
  <si>
    <t>---------------------</t>
  </si>
  <si>
    <t>XP_042192170.1</t>
  </si>
  <si>
    <t>-</t>
  </si>
  <si>
    <t>FAMILYB1</t>
  </si>
  <si>
    <t>parathyroid hormone 2 receptor [Callorhinchus milii]</t>
  </si>
  <si>
    <t>XP_042199302.1</t>
  </si>
  <si>
    <t>parathyroid hormone/parathyroid hormone-related peptide receptor [Callorhi</t>
  </si>
  <si>
    <t>nchus milii]</t>
  </si>
  <si>
    <t>XP_042198467.1</t>
  </si>
  <si>
    <t>glucagon receptor [Callorhinchus milii]</t>
  </si>
  <si>
    <t>XP_042198468.1</t>
  </si>
  <si>
    <t>XP_042198469.1</t>
  </si>
  <si>
    <t>XP_042198470.1</t>
  </si>
  <si>
    <t>XP_007903520.2</t>
  </si>
  <si>
    <t>calcitonin gene-related peptide type 1 receptor [Callorhinchus milii]</t>
  </si>
  <si>
    <t>XP_042192441.1</t>
  </si>
  <si>
    <t>calcitonin gene-related peptide type 1 receptor isoform X2 [Callorhinchus</t>
  </si>
  <si>
    <t>milii]</t>
  </si>
  <si>
    <t>XP_007888311.1</t>
  </si>
  <si>
    <t>calcitonin gene-related peptide type 1 receptor isoform X1 [Callorhinchus</t>
  </si>
  <si>
    <t>XP_007888312.1</t>
  </si>
  <si>
    <t>XP_007887031.2</t>
  </si>
  <si>
    <t>glucagon-like peptide 2 receptor [Callorhinchus milii]</t>
  </si>
  <si>
    <t>XP_042187666.1</t>
  </si>
  <si>
    <t>vasoactive intestinal polypeptide receptor [Callorhinchus milii]</t>
  </si>
  <si>
    <t>XP_007894350.1</t>
  </si>
  <si>
    <t>secretin receptor [Callorhinchus milii]</t>
  </si>
  <si>
    <t>XP_007908702.1</t>
  </si>
  <si>
    <t>calcitonin gene-related peptide type 1 receptor-like [Callorhinchus milii]</t>
  </si>
  <si>
    <t>XP_007908703.1</t>
  </si>
  <si>
    <t>XP_007899379.1</t>
  </si>
  <si>
    <t>vasoactive intestinal polypeptide receptor 2 [Callorhinchus milii]</t>
  </si>
  <si>
    <t>XP_007905561.1</t>
  </si>
  <si>
    <t>corticotropin-releasing factor receptor 1-like [Callorhinchus milii]</t>
  </si>
  <si>
    <t>XP_042187667.1</t>
  </si>
  <si>
    <t>adenylate cyclase activating polypeptide 1a (pituitary) receptor type I [C</t>
  </si>
  <si>
    <t>allorhinchus milii]</t>
  </si>
  <si>
    <t>XP_042199389.1</t>
  </si>
  <si>
    <t>vasoactive intestinal polypeptide receptor-like [Callorhinchus milii]</t>
  </si>
  <si>
    <t>XP_042188467.1</t>
  </si>
  <si>
    <t>LOW QUALITY PROTEIN: vasoactive intestinal polypeptide receptor [Callorhin</t>
  </si>
  <si>
    <t>chus milii]</t>
  </si>
  <si>
    <t>XP_042197104.1</t>
  </si>
  <si>
    <t>glucagon-like peptide 1 receptor [Callorhinchus milii]</t>
  </si>
  <si>
    <t>XP_042199391.1</t>
  </si>
  <si>
    <t>XP_042190908.1</t>
  </si>
  <si>
    <t>adhesion G-protein coupled receptor D2-like [Callorhinchus milii]</t>
  </si>
  <si>
    <t>XP_042193749.1</t>
  </si>
  <si>
    <t>adhesion G-protein coupled receptor D1 [Callorhinchus milii]</t>
  </si>
  <si>
    <t>XP_042188157.1</t>
  </si>
  <si>
    <t>corticotropin-releasing factor receptor 2-like [Callorhinchus milii]</t>
  </si>
  <si>
    <t>XP_007904124.1</t>
  </si>
  <si>
    <t>adhesion G protein-coupled receptor L3 isoform X3 [Callorhinchus milii]</t>
  </si>
  <si>
    <t>XP_007904125.1</t>
  </si>
  <si>
    <t>adhesion G protein-coupled receptor L3 isoform X4 [Callorhinchus milii]</t>
  </si>
  <si>
    <t>XP_007904121.1</t>
  </si>
  <si>
    <t>adhesion G protein-coupled receptor L3 isoform X1 [Callorhinchus milii]</t>
  </si>
  <si>
    <t>XP_007904122.1</t>
  </si>
  <si>
    <t>adhesion G protein-coupled receptor L3 isoform X2 [Callorhinchus milii]</t>
  </si>
  <si>
    <t>XP_007885423.1</t>
  </si>
  <si>
    <t>adhesion G protein-coupled receptor L2 isoform X1 [Callorhinchus milii]</t>
  </si>
  <si>
    <t>XP_007885424.1</t>
  </si>
  <si>
    <t>XP_007885426.1</t>
  </si>
  <si>
    <t>adhesion G protein-coupled receptor L2 isoform X2 [Callorhinchus milii]</t>
  </si>
  <si>
    <t>XP_042190809.1</t>
  </si>
  <si>
    <t>adhesion G protein-coupled receptor L2 isoform X3 [Callorhinchus milii]</t>
  </si>
  <si>
    <t>XP_042200559.1</t>
  </si>
  <si>
    <t>adhesion G protein-coupled receptor E5-like [Callorhinchus milii]</t>
  </si>
  <si>
    <t>XP_042200625.1</t>
  </si>
  <si>
    <t>adhesion G protein-coupled receptor E1 [Callorhinchus milii]</t>
  </si>
  <si>
    <t>XP_042200620.1</t>
  </si>
  <si>
    <t>adhesion G protein-coupled receptor L1 [Callorhinchus milii]</t>
  </si>
  <si>
    <t>XP_042200547.1</t>
  </si>
  <si>
    <t>adhesion G protein-coupled receptor E1-like [Callorhinchus milii]</t>
  </si>
  <si>
    <t>XP_042200538.1</t>
  </si>
  <si>
    <t>XP_042200581.1</t>
  </si>
  <si>
    <t>putative adhesion G protein-coupled receptor E4P [Callorhinchus milii]</t>
  </si>
  <si>
    <t>XP_007888434.2</t>
  </si>
  <si>
    <t>LOW QUALITY PROTEIN: cadherin EGF LAG seven-pass G-type receptor 3 [Callor</t>
  </si>
  <si>
    <t>hinchus milii]</t>
  </si>
  <si>
    <t>XP_007885432.1</t>
  </si>
  <si>
    <t>adhesion G protein-coupled receptor L4 isoform X2 [Callorhinchus milii]</t>
  </si>
  <si>
    <t>XP_007885430.1</t>
  </si>
  <si>
    <t>adhesion G protein-coupled receptor L4 isoform X1 [Callorhinchus milii]</t>
  </si>
  <si>
    <t>XP_042188466.1</t>
  </si>
  <si>
    <t>XP_042198186.1</t>
  </si>
  <si>
    <t>cadherin EGF LAG seven-pass G-type receptor 2 [Callorhinchus milii]</t>
  </si>
  <si>
    <t>XP_042191384.1</t>
  </si>
  <si>
    <t>cadherin EGF LAG seven-pass G-type receptor 1 [Callorhinchus milii]</t>
  </si>
  <si>
    <t>XP_007890026.2</t>
  </si>
  <si>
    <t>adhesion G-protein coupled receptor G2, partial [Callorhinchus milii]</t>
  </si>
  <si>
    <t>XP_007897418.2</t>
  </si>
  <si>
    <t>LOW QUALITY PROTEIN: adhesion G protein-coupled receptor F5-like [Callorhi</t>
  </si>
  <si>
    <t>XP_007890887.2</t>
  </si>
  <si>
    <t>adhesion G-protein coupled receptor G6 [Callorhinchus milii]</t>
  </si>
  <si>
    <t>XP_042189336.1</t>
  </si>
  <si>
    <t>adhesion G protein-coupled receptor B3-like isoform X2 [Callorhinchus mili</t>
  </si>
  <si>
    <t>i]</t>
  </si>
  <si>
    <t>XP_042189335.1</t>
  </si>
  <si>
    <t>adhesion G protein-coupled receptor B3-like isoform X1 [Callorhinchus mili</t>
  </si>
  <si>
    <t>XP_042189337.1</t>
  </si>
  <si>
    <t>adhesion G protein-coupled receptor B3-like isoform X3 [Callorhinchus mili</t>
  </si>
  <si>
    <t>XP_042187612.1</t>
  </si>
  <si>
    <t>adhesion G protein-coupled receptor B1 [Callorhinchus milii]</t>
  </si>
  <si>
    <t>XP_042188664.1</t>
  </si>
  <si>
    <t>XP_042194728.1</t>
  </si>
  <si>
    <t>adhesion G protein-coupled receptor B2 [Callorhinchus milii]</t>
  </si>
  <si>
    <t>XP_042200528.1</t>
  </si>
  <si>
    <t>adhesion G protein-coupled receptor E2 [Callorhinchus milii]</t>
  </si>
  <si>
    <t>XP_042200627.1</t>
  </si>
  <si>
    <t>adhesion G protein-coupled receptor E3-like, partial [Callorhinchus milii]</t>
  </si>
  <si>
    <t>XP_042200638.1</t>
  </si>
  <si>
    <t>adhesion G protein-coupled receptor E3-like [Callorhinchus milii]</t>
  </si>
  <si>
    <t>XP_007895296.2</t>
  </si>
  <si>
    <t>adhesion G protein-coupled receptor F5-like [Callorhinchus milii]</t>
  </si>
  <si>
    <t>XP_042200558.1</t>
  </si>
  <si>
    <t>XP_007909688.1</t>
  </si>
  <si>
    <t>adhesion G-protein coupled receptor G5-like [Callorhinchus milii]</t>
  </si>
  <si>
    <t>XP_007894079.2</t>
  </si>
  <si>
    <t>adhesion G-protein coupled receptor G7 [Callorhinchus milii]</t>
  </si>
  <si>
    <t>XP_042189404.1</t>
  </si>
  <si>
    <t>adhesion G-protein coupled receptor F1-like [Callorhinchus milii]</t>
  </si>
  <si>
    <t>XP_042187668.1</t>
  </si>
  <si>
    <t>XP_042196344.1</t>
  </si>
  <si>
    <t>adhesion G-protein coupled receptor G2-like [Callorhinchus milii]</t>
  </si>
  <si>
    <t>XP_042200545.1</t>
  </si>
  <si>
    <t>XP_007900248.1</t>
  </si>
  <si>
    <t>G-protein coupled receptor 157 [Callorhinchus milii]</t>
  </si>
  <si>
    <t>XP_042200630.1</t>
  </si>
  <si>
    <t>XP_042200643.1</t>
  </si>
  <si>
    <t>XP_042193379.1</t>
  </si>
  <si>
    <t>adhesion G-protein coupled receptor D2 [Callorhinchus milii]</t>
  </si>
  <si>
    <t>XP_007899625.2</t>
  </si>
  <si>
    <t>cyclic AMP receptor-like protein A [Callorhinchus milii]</t>
  </si>
  <si>
    <t>XP_042200346.1</t>
  </si>
  <si>
    <t>adhesion G protein-coupled receptor A2 [Callorhinchus milii]</t>
  </si>
  <si>
    <t>XP_042202925.1</t>
  </si>
  <si>
    <t>LOW QUALITY PROTEIN: adhesion G-protein coupled receptor V1 [Callorhinchus</t>
  </si>
  <si>
    <t>XP_007892501.2</t>
  </si>
  <si>
    <t>olfactory receptor class A-like protein 1 [Callorhinchus milii]</t>
  </si>
  <si>
    <t>XP_007889393.1</t>
  </si>
  <si>
    <t>G-protein coupled receptor 143 [Callorhinchus milii]</t>
  </si>
  <si>
    <t>XP_007904861.1</t>
  </si>
  <si>
    <t>semaphorin-4F [Callorhinchus milii]</t>
  </si>
  <si>
    <t>XP_007906694.2</t>
  </si>
  <si>
    <t>histamine H2 receptor-like isoform X1 [Callorhinchus milii]</t>
  </si>
  <si>
    <t>XP_042198874.1</t>
  </si>
  <si>
    <t>5-hydroxytryptamine receptor 1E-like isoform X2 [Callorhinchus milii]</t>
  </si>
  <si>
    <t>XP_042193354.1</t>
  </si>
  <si>
    <t>immediate early response gene 5-like protein [Callorhinchus milii]</t>
  </si>
  <si>
    <t>XP_042198875.1</t>
  </si>
  <si>
    <t>histamine H2 receptor-like isoform X3 [Callorhinchus milii]</t>
  </si>
  <si>
    <t>XP_007889374.1</t>
  </si>
  <si>
    <t>transmembrane protein 47-like [Callorhinchus milii]</t>
  </si>
  <si>
    <t>XP_007889054.1</t>
  </si>
  <si>
    <t>smoothened homolog [Callorhinchus milii]</t>
  </si>
  <si>
    <t># Program:</t>
  </si>
  <si>
    <t>hmmsearch</t>
  </si>
  <si>
    <t># Version:</t>
  </si>
  <si>
    <t>3.4 (Aug 202</t>
  </si>
  <si>
    <t>3)</t>
  </si>
  <si>
    <t># Pipeline mode:</t>
  </si>
  <si>
    <t>SEARCH</t>
  </si>
  <si>
    <t># Query file:</t>
  </si>
  <si>
    <t>/data/dnb12/</t>
  </si>
  <si>
    <t>galaxy</t>
  </si>
  <si>
    <t>_db/files/5/3/4/datase</t>
  </si>
  <si>
    <t>t_534f08e7</t>
  </si>
  <si>
    <t>-4463-</t>
  </si>
  <si>
    <t>4c65-8ccb-</t>
  </si>
  <si>
    <t>c2e1c8b</t>
  </si>
  <si>
    <t>0475e.</t>
  </si>
  <si>
    <t>dat</t>
  </si>
  <si>
    <t># Target file:</t>
  </si>
  <si>
    <t>_db/files/3/9/c/datase</t>
  </si>
  <si>
    <t>t_39c3c0fa</t>
  </si>
  <si>
    <t>-bb5a-</t>
  </si>
  <si>
    <t>4368-9345-</t>
  </si>
  <si>
    <t>eb01124</t>
  </si>
  <si>
    <t>aa0bd.</t>
  </si>
  <si>
    <t># Option settings:</t>
  </si>
  <si>
    <t>hmmsearch --</t>
  </si>
  <si>
    <t>domtbl</t>
  </si>
  <si>
    <t>out /data/jwd08/main/0</t>
  </si>
  <si>
    <t>95/983/959</t>
  </si>
  <si>
    <t>83472/</t>
  </si>
  <si>
    <t>outputs/da</t>
  </si>
  <si>
    <t>taset_c</t>
  </si>
  <si>
    <t>c10a2a</t>
  </si>
  <si>
    <t>4-bf</t>
  </si>
  <si>
    <t>e8-4</t>
  </si>
  <si>
    <t>140-8d38-2</t>
  </si>
  <si>
    <t>cd83962967</t>
  </si>
  <si>
    <t>6.dat -</t>
  </si>
  <si>
    <t>E 10.0</t>
  </si>
  <si>
    <t>-F2 0.</t>
  </si>
  <si>
    <t>001 --</t>
  </si>
  <si>
    <t>F3 1e</t>
  </si>
  <si>
    <t>-05 --seed 42 --cpu 0 /data/dnb12/galaxy_db/files/5/3/4/dataset_534f08e7-44</t>
  </si>
  <si>
    <t>63-4c65-8ccb-c2e1c8b0475e.dat /data/dnb12/galaxy_db/files/3/9/c/dataset_39c3c0fa-bb5a-4368-9345-eb01124aa0bd.dat</t>
  </si>
  <si>
    <t># Current dir:</t>
  </si>
  <si>
    <t>/data/jwd08/</t>
  </si>
  <si>
    <t>main/0</t>
  </si>
  <si>
    <t>95/983/95983472/workin</t>
  </si>
  <si>
    <t>g</t>
  </si>
  <si>
    <t># Date:</t>
  </si>
  <si>
    <t>Wed Jan 28 2</t>
  </si>
  <si>
    <t>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</si>
</sst>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21" fontId="0" fillId="0" borderId="0" xfId="0" applyNumberFormat="1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31C4-AB15-4F32-8B83-46460C1D4350}">
  <dimension ref="A1:X114"/>
  <sheetViews>
    <sheetView tabSelected="1" topLeftCell="A91" workbookViewId="0">
      <selection activeCell="AJ30" sqref="AJ30"/>
    </sheetView>
  </sheetViews>
  <sheetFormatPr defaultRowHeight="14.4" x14ac:dyDescent="0.3"/>
  <cols>
    <col min="2" max="2" width="0" hidden="1" customWidth="1"/>
    <col min="4" max="6" width="0" hidden="1" customWidth="1"/>
    <col min="7" max="7" width="14.5546875" customWidth="1"/>
    <col min="8" max="22" width="0" hidden="1" customWidth="1"/>
  </cols>
  <sheetData>
    <row r="1" spans="1:24" x14ac:dyDescent="0.3">
      <c r="A1" t="s">
        <v>0</v>
      </c>
      <c r="G1" t="e" cm="1">
        <f t="array" ref="G1">--- full</f>
        <v>#NAME?</v>
      </c>
      <c r="H1" t="s">
        <v>2</v>
      </c>
      <c r="I1" t="s">
        <v>3</v>
      </c>
      <c r="J1" t="s">
        <v>4</v>
      </c>
      <c r="K1" t="s">
        <v>5</v>
      </c>
      <c r="L1" t="e" cm="1">
        <f t="array" ref="L1">------- th</f>
        <v>#NAME?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10</v>
      </c>
      <c r="T1" t="s">
        <v>12</v>
      </c>
      <c r="U1" t="s">
        <v>10</v>
      </c>
    </row>
    <row r="2" spans="1:24" x14ac:dyDescent="0.3">
      <c r="A2" t="s">
        <v>13</v>
      </c>
      <c r="B2" t="s">
        <v>14</v>
      </c>
      <c r="C2" t="s">
        <v>15</v>
      </c>
      <c r="D2" t="s">
        <v>16</v>
      </c>
      <c r="E2" t="s">
        <v>14</v>
      </c>
      <c r="F2" t="s">
        <v>17</v>
      </c>
      <c r="G2" t="s">
        <v>18</v>
      </c>
      <c r="H2" t="s">
        <v>19</v>
      </c>
      <c r="I2" t="s">
        <v>20</v>
      </c>
      <c r="J2" t="s">
        <v>0</v>
      </c>
      <c r="K2" t="s">
        <v>21</v>
      </c>
      <c r="L2" t="s">
        <v>22</v>
      </c>
      <c r="M2" t="s">
        <v>23</v>
      </c>
      <c r="N2" t="s">
        <v>19</v>
      </c>
      <c r="O2" t="s">
        <v>20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26</v>
      </c>
      <c r="W2" t="s">
        <v>27</v>
      </c>
    </row>
    <row r="3" spans="1:24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8</v>
      </c>
      <c r="I3" t="s">
        <v>30</v>
      </c>
      <c r="J3" t="s">
        <v>4</v>
      </c>
      <c r="K3" t="s">
        <v>4</v>
      </c>
      <c r="L3" t="s">
        <v>33</v>
      </c>
      <c r="M3" t="s">
        <v>33</v>
      </c>
      <c r="N3" t="s">
        <v>8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5</v>
      </c>
      <c r="W3" t="s">
        <v>34</v>
      </c>
    </row>
    <row r="4" spans="1:24" x14ac:dyDescent="0.3">
      <c r="A4" t="s">
        <v>35</v>
      </c>
      <c r="B4" t="s">
        <v>36</v>
      </c>
      <c r="C4">
        <v>568</v>
      </c>
      <c r="D4" t="s">
        <v>37</v>
      </c>
      <c r="E4" t="s">
        <v>36</v>
      </c>
      <c r="F4">
        <v>457</v>
      </c>
      <c r="G4" s="1">
        <v>3.2E-159</v>
      </c>
      <c r="H4">
        <v>530.9</v>
      </c>
      <c r="I4">
        <v>6.2</v>
      </c>
      <c r="J4">
        <v>1</v>
      </c>
      <c r="K4">
        <v>1</v>
      </c>
      <c r="L4" s="1">
        <v>1.1E-161</v>
      </c>
      <c r="M4" s="1">
        <v>4.1000000000000001E-159</v>
      </c>
      <c r="N4">
        <v>530.5</v>
      </c>
      <c r="O4">
        <v>6.2</v>
      </c>
      <c r="P4">
        <v>20</v>
      </c>
      <c r="Q4">
        <v>442</v>
      </c>
      <c r="R4">
        <v>54</v>
      </c>
      <c r="S4">
        <v>489</v>
      </c>
      <c r="T4">
        <v>40</v>
      </c>
      <c r="U4">
        <v>527</v>
      </c>
      <c r="V4">
        <v>0.92</v>
      </c>
      <c r="W4" t="s">
        <v>38</v>
      </c>
    </row>
    <row r="5" spans="1:24" x14ac:dyDescent="0.3">
      <c r="A5" t="s">
        <v>39</v>
      </c>
      <c r="B5" t="s">
        <v>36</v>
      </c>
      <c r="C5">
        <v>551</v>
      </c>
      <c r="D5" t="s">
        <v>37</v>
      </c>
      <c r="E5" t="s">
        <v>36</v>
      </c>
      <c r="F5">
        <v>457</v>
      </c>
      <c r="G5" s="1">
        <v>3.7E-151</v>
      </c>
      <c r="H5">
        <v>504.3</v>
      </c>
      <c r="I5">
        <v>11.3</v>
      </c>
      <c r="J5">
        <v>1</v>
      </c>
      <c r="K5">
        <v>1</v>
      </c>
      <c r="L5" s="1">
        <v>1.3000000000000001E-153</v>
      </c>
      <c r="M5" s="1">
        <v>4.8999999999999997E-151</v>
      </c>
      <c r="N5">
        <v>503.9</v>
      </c>
      <c r="O5">
        <v>11.3</v>
      </c>
      <c r="P5">
        <v>12</v>
      </c>
      <c r="Q5">
        <v>438</v>
      </c>
      <c r="R5">
        <v>32</v>
      </c>
      <c r="S5">
        <v>470</v>
      </c>
      <c r="T5">
        <v>17</v>
      </c>
      <c r="U5">
        <v>493</v>
      </c>
      <c r="V5">
        <v>0.92</v>
      </c>
      <c r="W5" t="s">
        <v>40</v>
      </c>
      <c r="X5" t="s">
        <v>41</v>
      </c>
    </row>
    <row r="6" spans="1:24" x14ac:dyDescent="0.3">
      <c r="A6" t="s">
        <v>42</v>
      </c>
      <c r="B6" t="s">
        <v>36</v>
      </c>
      <c r="C6">
        <v>517</v>
      </c>
      <c r="D6" t="s">
        <v>37</v>
      </c>
      <c r="E6" t="s">
        <v>36</v>
      </c>
      <c r="F6">
        <v>457</v>
      </c>
      <c r="G6" s="1">
        <v>2.1000000000000001E-150</v>
      </c>
      <c r="H6">
        <v>501.8</v>
      </c>
      <c r="I6">
        <v>13.4</v>
      </c>
      <c r="J6">
        <v>1</v>
      </c>
      <c r="K6">
        <v>1</v>
      </c>
      <c r="L6" s="1">
        <v>6.9999999999999996E-153</v>
      </c>
      <c r="M6" s="1">
        <v>2.5999999999999998E-150</v>
      </c>
      <c r="N6">
        <v>501.5</v>
      </c>
      <c r="O6">
        <v>13.4</v>
      </c>
      <c r="P6">
        <v>11</v>
      </c>
      <c r="Q6">
        <v>430</v>
      </c>
      <c r="R6">
        <v>8</v>
      </c>
      <c r="S6">
        <v>433</v>
      </c>
      <c r="T6">
        <v>1</v>
      </c>
      <c r="U6">
        <v>452</v>
      </c>
      <c r="V6">
        <v>0.92</v>
      </c>
      <c r="W6" t="s">
        <v>43</v>
      </c>
    </row>
    <row r="7" spans="1:24" x14ac:dyDescent="0.3">
      <c r="A7" t="s">
        <v>44</v>
      </c>
      <c r="B7" t="s">
        <v>36</v>
      </c>
      <c r="C7">
        <v>517</v>
      </c>
      <c r="D7" t="s">
        <v>37</v>
      </c>
      <c r="E7" t="s">
        <v>36</v>
      </c>
      <c r="F7">
        <v>457</v>
      </c>
      <c r="G7" s="1">
        <v>2.1000000000000001E-150</v>
      </c>
      <c r="H7">
        <v>501.8</v>
      </c>
      <c r="I7">
        <v>13.4</v>
      </c>
      <c r="J7">
        <v>1</v>
      </c>
      <c r="K7">
        <v>1</v>
      </c>
      <c r="L7" s="1">
        <v>6.9999999999999996E-153</v>
      </c>
      <c r="M7" s="1">
        <v>2.5999999999999998E-150</v>
      </c>
      <c r="N7">
        <v>501.5</v>
      </c>
      <c r="O7">
        <v>13.4</v>
      </c>
      <c r="P7">
        <v>11</v>
      </c>
      <c r="Q7">
        <v>430</v>
      </c>
      <c r="R7">
        <v>8</v>
      </c>
      <c r="S7">
        <v>433</v>
      </c>
      <c r="T7">
        <v>1</v>
      </c>
      <c r="U7">
        <v>452</v>
      </c>
      <c r="V7">
        <v>0.92</v>
      </c>
      <c r="W7" t="s">
        <v>43</v>
      </c>
    </row>
    <row r="8" spans="1:24" x14ac:dyDescent="0.3">
      <c r="A8" t="s">
        <v>45</v>
      </c>
      <c r="B8" t="s">
        <v>36</v>
      </c>
      <c r="C8">
        <v>517</v>
      </c>
      <c r="D8" t="s">
        <v>37</v>
      </c>
      <c r="E8" t="s">
        <v>36</v>
      </c>
      <c r="F8">
        <v>457</v>
      </c>
      <c r="G8" s="1">
        <v>2.1000000000000001E-150</v>
      </c>
      <c r="H8">
        <v>501.8</v>
      </c>
      <c r="I8">
        <v>13.4</v>
      </c>
      <c r="J8">
        <v>1</v>
      </c>
      <c r="K8">
        <v>1</v>
      </c>
      <c r="L8" s="1">
        <v>6.9999999999999996E-153</v>
      </c>
      <c r="M8" s="1">
        <v>2.5999999999999998E-150</v>
      </c>
      <c r="N8">
        <v>501.5</v>
      </c>
      <c r="O8">
        <v>13.4</v>
      </c>
      <c r="P8">
        <v>11</v>
      </c>
      <c r="Q8">
        <v>430</v>
      </c>
      <c r="R8">
        <v>8</v>
      </c>
      <c r="S8">
        <v>433</v>
      </c>
      <c r="T8">
        <v>1</v>
      </c>
      <c r="U8">
        <v>452</v>
      </c>
      <c r="V8">
        <v>0.92</v>
      </c>
      <c r="W8" t="s">
        <v>43</v>
      </c>
    </row>
    <row r="9" spans="1:24" x14ac:dyDescent="0.3">
      <c r="A9" t="s">
        <v>46</v>
      </c>
      <c r="B9" t="s">
        <v>36</v>
      </c>
      <c r="C9">
        <v>517</v>
      </c>
      <c r="D9" t="s">
        <v>37</v>
      </c>
      <c r="E9" t="s">
        <v>36</v>
      </c>
      <c r="F9">
        <v>457</v>
      </c>
      <c r="G9" s="1">
        <v>2.1000000000000001E-150</v>
      </c>
      <c r="H9">
        <v>501.8</v>
      </c>
      <c r="I9">
        <v>13.4</v>
      </c>
      <c r="J9">
        <v>1</v>
      </c>
      <c r="K9">
        <v>1</v>
      </c>
      <c r="L9" s="1">
        <v>6.9999999999999996E-153</v>
      </c>
      <c r="M9" s="1">
        <v>2.5999999999999998E-150</v>
      </c>
      <c r="N9">
        <v>501.5</v>
      </c>
      <c r="O9">
        <v>13.4</v>
      </c>
      <c r="P9">
        <v>11</v>
      </c>
      <c r="Q9">
        <v>430</v>
      </c>
      <c r="R9">
        <v>8</v>
      </c>
      <c r="S9">
        <v>433</v>
      </c>
      <c r="T9">
        <v>1</v>
      </c>
      <c r="U9">
        <v>452</v>
      </c>
      <c r="V9">
        <v>0.92</v>
      </c>
      <c r="W9" t="s">
        <v>43</v>
      </c>
    </row>
    <row r="10" spans="1:24" x14ac:dyDescent="0.3">
      <c r="A10" t="s">
        <v>47</v>
      </c>
      <c r="B10" t="s">
        <v>36</v>
      </c>
      <c r="C10">
        <v>476</v>
      </c>
      <c r="D10" t="s">
        <v>37</v>
      </c>
      <c r="E10" t="s">
        <v>36</v>
      </c>
      <c r="F10">
        <v>457</v>
      </c>
      <c r="G10" s="1">
        <v>7.2999999999999997E-150</v>
      </c>
      <c r="H10">
        <v>500</v>
      </c>
      <c r="I10">
        <v>13.8</v>
      </c>
      <c r="J10">
        <v>1</v>
      </c>
      <c r="K10">
        <v>1</v>
      </c>
      <c r="L10" s="1">
        <v>2.4999999999999998E-152</v>
      </c>
      <c r="M10" s="1">
        <v>9.3000000000000005E-150</v>
      </c>
      <c r="N10">
        <v>499.7</v>
      </c>
      <c r="O10">
        <v>13.8</v>
      </c>
      <c r="P10">
        <v>20</v>
      </c>
      <c r="Q10">
        <v>437</v>
      </c>
      <c r="R10">
        <v>37</v>
      </c>
      <c r="S10">
        <v>441</v>
      </c>
      <c r="T10">
        <v>16</v>
      </c>
      <c r="U10">
        <v>466</v>
      </c>
      <c r="V10">
        <v>0.94</v>
      </c>
      <c r="W10" t="s">
        <v>48</v>
      </c>
    </row>
    <row r="11" spans="1:24" x14ac:dyDescent="0.3">
      <c r="A11" t="s">
        <v>49</v>
      </c>
      <c r="B11" t="s">
        <v>36</v>
      </c>
      <c r="C11">
        <v>466</v>
      </c>
      <c r="D11" t="s">
        <v>37</v>
      </c>
      <c r="E11" t="s">
        <v>36</v>
      </c>
      <c r="F11">
        <v>457</v>
      </c>
      <c r="G11" s="1">
        <v>7.0000000000000003E-146</v>
      </c>
      <c r="H11">
        <v>486.9</v>
      </c>
      <c r="I11">
        <v>15.4</v>
      </c>
      <c r="J11">
        <v>1</v>
      </c>
      <c r="K11">
        <v>1</v>
      </c>
      <c r="L11" s="1">
        <v>2.3E-148</v>
      </c>
      <c r="M11" s="1">
        <v>8.5999999999999998E-146</v>
      </c>
      <c r="N11">
        <v>486.6</v>
      </c>
      <c r="O11">
        <v>15.4</v>
      </c>
      <c r="P11">
        <v>29</v>
      </c>
      <c r="Q11">
        <v>437</v>
      </c>
      <c r="R11">
        <v>37</v>
      </c>
      <c r="S11">
        <v>431</v>
      </c>
      <c r="T11">
        <v>2</v>
      </c>
      <c r="U11">
        <v>455</v>
      </c>
      <c r="V11">
        <v>0.93</v>
      </c>
      <c r="W11" t="s">
        <v>50</v>
      </c>
      <c r="X11" t="s">
        <v>51</v>
      </c>
    </row>
    <row r="12" spans="1:24" x14ac:dyDescent="0.3">
      <c r="A12" t="s">
        <v>52</v>
      </c>
      <c r="B12" t="s">
        <v>36</v>
      </c>
      <c r="C12">
        <v>479</v>
      </c>
      <c r="D12" t="s">
        <v>37</v>
      </c>
      <c r="E12" t="s">
        <v>36</v>
      </c>
      <c r="F12">
        <v>457</v>
      </c>
      <c r="G12" s="1">
        <v>7.4999999999999998E-146</v>
      </c>
      <c r="H12">
        <v>486.8</v>
      </c>
      <c r="I12">
        <v>15.9</v>
      </c>
      <c r="J12">
        <v>1</v>
      </c>
      <c r="K12">
        <v>1</v>
      </c>
      <c r="L12" s="1">
        <v>2.3E-148</v>
      </c>
      <c r="M12" s="1">
        <v>8.5999999999999998E-146</v>
      </c>
      <c r="N12">
        <v>486.6</v>
      </c>
      <c r="O12">
        <v>15.9</v>
      </c>
      <c r="P12">
        <v>27</v>
      </c>
      <c r="Q12">
        <v>437</v>
      </c>
      <c r="R12">
        <v>48</v>
      </c>
      <c r="S12">
        <v>444</v>
      </c>
      <c r="T12">
        <v>1</v>
      </c>
      <c r="U12">
        <v>468</v>
      </c>
      <c r="V12">
        <v>0.9</v>
      </c>
      <c r="W12" t="s">
        <v>53</v>
      </c>
      <c r="X12" t="s">
        <v>51</v>
      </c>
    </row>
    <row r="13" spans="1:24" x14ac:dyDescent="0.3">
      <c r="A13" t="s">
        <v>54</v>
      </c>
      <c r="B13" t="s">
        <v>36</v>
      </c>
      <c r="C13">
        <v>479</v>
      </c>
      <c r="D13" t="s">
        <v>37</v>
      </c>
      <c r="E13" t="s">
        <v>36</v>
      </c>
      <c r="F13">
        <v>457</v>
      </c>
      <c r="G13" s="1">
        <v>7.4999999999999998E-146</v>
      </c>
      <c r="H13">
        <v>486.8</v>
      </c>
      <c r="I13">
        <v>15.9</v>
      </c>
      <c r="J13">
        <v>1</v>
      </c>
      <c r="K13">
        <v>1</v>
      </c>
      <c r="L13" s="1">
        <v>2.3E-148</v>
      </c>
      <c r="M13" s="1">
        <v>8.5999999999999998E-146</v>
      </c>
      <c r="N13">
        <v>486.6</v>
      </c>
      <c r="O13">
        <v>15.9</v>
      </c>
      <c r="P13">
        <v>27</v>
      </c>
      <c r="Q13">
        <v>437</v>
      </c>
      <c r="R13">
        <v>48</v>
      </c>
      <c r="S13">
        <v>444</v>
      </c>
      <c r="T13">
        <v>1</v>
      </c>
      <c r="U13">
        <v>468</v>
      </c>
      <c r="V13">
        <v>0.9</v>
      </c>
      <c r="W13" t="s">
        <v>53</v>
      </c>
      <c r="X13" t="s">
        <v>51</v>
      </c>
    </row>
    <row r="14" spans="1:24" x14ac:dyDescent="0.3">
      <c r="A14" t="s">
        <v>55</v>
      </c>
      <c r="B14" t="s">
        <v>36</v>
      </c>
      <c r="C14">
        <v>540</v>
      </c>
      <c r="D14" t="s">
        <v>37</v>
      </c>
      <c r="E14" t="s">
        <v>36</v>
      </c>
      <c r="F14">
        <v>457</v>
      </c>
      <c r="G14" s="1">
        <v>6.4000000000000003E-141</v>
      </c>
      <c r="H14">
        <v>470.6</v>
      </c>
      <c r="I14">
        <v>18.5</v>
      </c>
      <c r="J14">
        <v>1</v>
      </c>
      <c r="K14">
        <v>1</v>
      </c>
      <c r="L14" s="1">
        <v>2.1999999999999999E-143</v>
      </c>
      <c r="M14" s="1">
        <v>8.3000000000000005E-141</v>
      </c>
      <c r="N14">
        <v>470.2</v>
      </c>
      <c r="O14">
        <v>18.5</v>
      </c>
      <c r="P14">
        <v>20</v>
      </c>
      <c r="Q14">
        <v>419</v>
      </c>
      <c r="R14">
        <v>51</v>
      </c>
      <c r="S14">
        <v>459</v>
      </c>
      <c r="T14">
        <v>32</v>
      </c>
      <c r="U14">
        <v>500</v>
      </c>
      <c r="V14">
        <v>0.92</v>
      </c>
      <c r="W14" t="s">
        <v>56</v>
      </c>
    </row>
    <row r="15" spans="1:24" x14ac:dyDescent="0.3">
      <c r="A15" t="s">
        <v>57</v>
      </c>
      <c r="B15" t="s">
        <v>36</v>
      </c>
      <c r="C15">
        <v>452</v>
      </c>
      <c r="D15" t="s">
        <v>37</v>
      </c>
      <c r="E15" t="s">
        <v>36</v>
      </c>
      <c r="F15">
        <v>457</v>
      </c>
      <c r="G15" s="1">
        <v>7.0000000000000006E-141</v>
      </c>
      <c r="H15">
        <v>470.4</v>
      </c>
      <c r="I15">
        <v>21</v>
      </c>
      <c r="J15">
        <v>1</v>
      </c>
      <c r="K15">
        <v>1</v>
      </c>
      <c r="L15" s="1">
        <v>2.3999999999999999E-143</v>
      </c>
      <c r="M15" s="1">
        <v>9.1999999999999998E-141</v>
      </c>
      <c r="N15">
        <v>470</v>
      </c>
      <c r="O15">
        <v>21</v>
      </c>
      <c r="P15">
        <v>19</v>
      </c>
      <c r="Q15">
        <v>439</v>
      </c>
      <c r="R15">
        <v>24</v>
      </c>
      <c r="S15">
        <v>430</v>
      </c>
      <c r="T15">
        <v>5</v>
      </c>
      <c r="U15">
        <v>449</v>
      </c>
      <c r="V15">
        <v>0.89</v>
      </c>
      <c r="W15" t="s">
        <v>58</v>
      </c>
    </row>
    <row r="16" spans="1:24" x14ac:dyDescent="0.3">
      <c r="A16" t="s">
        <v>59</v>
      </c>
      <c r="B16" t="s">
        <v>36</v>
      </c>
      <c r="C16">
        <v>465</v>
      </c>
      <c r="D16" t="s">
        <v>37</v>
      </c>
      <c r="E16" t="s">
        <v>36</v>
      </c>
      <c r="F16">
        <v>457</v>
      </c>
      <c r="G16" s="1">
        <v>4.9000000000000003E-139</v>
      </c>
      <c r="H16">
        <v>464.4</v>
      </c>
      <c r="I16">
        <v>13.2</v>
      </c>
      <c r="J16">
        <v>1</v>
      </c>
      <c r="K16">
        <v>1</v>
      </c>
      <c r="L16" s="1">
        <v>1.6000000000000001E-141</v>
      </c>
      <c r="M16" s="1">
        <v>5.8999999999999998E-139</v>
      </c>
      <c r="N16">
        <v>464.1</v>
      </c>
      <c r="O16">
        <v>13.2</v>
      </c>
      <c r="P16">
        <v>21</v>
      </c>
      <c r="Q16">
        <v>447</v>
      </c>
      <c r="R16">
        <v>28</v>
      </c>
      <c r="S16">
        <v>451</v>
      </c>
      <c r="T16">
        <v>7</v>
      </c>
      <c r="U16">
        <v>464</v>
      </c>
      <c r="V16">
        <v>0.89</v>
      </c>
      <c r="W16" t="s">
        <v>60</v>
      </c>
    </row>
    <row r="17" spans="1:24" x14ac:dyDescent="0.3">
      <c r="A17" t="s">
        <v>61</v>
      </c>
      <c r="B17" t="s">
        <v>36</v>
      </c>
      <c r="C17">
        <v>477</v>
      </c>
      <c r="D17" t="s">
        <v>37</v>
      </c>
      <c r="E17" t="s">
        <v>36</v>
      </c>
      <c r="F17">
        <v>457</v>
      </c>
      <c r="G17" s="1">
        <v>8.7999999999999999E-131</v>
      </c>
      <c r="H17">
        <v>437.1</v>
      </c>
      <c r="I17">
        <v>13.5</v>
      </c>
      <c r="J17">
        <v>1</v>
      </c>
      <c r="K17">
        <v>1</v>
      </c>
      <c r="L17" s="1">
        <v>2.6999999999999999E-133</v>
      </c>
      <c r="M17" s="1">
        <v>1.0000000000000001E-130</v>
      </c>
      <c r="N17">
        <v>436.9</v>
      </c>
      <c r="O17">
        <v>13.5</v>
      </c>
      <c r="P17">
        <v>28</v>
      </c>
      <c r="Q17">
        <v>430</v>
      </c>
      <c r="R17">
        <v>38</v>
      </c>
      <c r="S17">
        <v>427</v>
      </c>
      <c r="T17">
        <v>1</v>
      </c>
      <c r="U17">
        <v>450</v>
      </c>
      <c r="V17">
        <v>0.92</v>
      </c>
      <c r="W17" t="s">
        <v>62</v>
      </c>
    </row>
    <row r="18" spans="1:24" x14ac:dyDescent="0.3">
      <c r="A18" t="s">
        <v>63</v>
      </c>
      <c r="B18" t="s">
        <v>36</v>
      </c>
      <c r="C18">
        <v>477</v>
      </c>
      <c r="D18" t="s">
        <v>37</v>
      </c>
      <c r="E18" t="s">
        <v>36</v>
      </c>
      <c r="F18">
        <v>457</v>
      </c>
      <c r="G18" s="1">
        <v>8.7999999999999999E-131</v>
      </c>
      <c r="H18">
        <v>437.1</v>
      </c>
      <c r="I18">
        <v>13.5</v>
      </c>
      <c r="J18">
        <v>1</v>
      </c>
      <c r="K18">
        <v>1</v>
      </c>
      <c r="L18" s="1">
        <v>2.6999999999999999E-133</v>
      </c>
      <c r="M18" s="1">
        <v>1.0000000000000001E-130</v>
      </c>
      <c r="N18">
        <v>436.9</v>
      </c>
      <c r="O18">
        <v>13.5</v>
      </c>
      <c r="P18">
        <v>28</v>
      </c>
      <c r="Q18">
        <v>430</v>
      </c>
      <c r="R18">
        <v>38</v>
      </c>
      <c r="S18">
        <v>427</v>
      </c>
      <c r="T18">
        <v>1</v>
      </c>
      <c r="U18">
        <v>450</v>
      </c>
      <c r="V18">
        <v>0.92</v>
      </c>
      <c r="W18" t="s">
        <v>62</v>
      </c>
    </row>
    <row r="19" spans="1:24" x14ac:dyDescent="0.3">
      <c r="A19" t="s">
        <v>64</v>
      </c>
      <c r="B19" t="s">
        <v>36</v>
      </c>
      <c r="C19">
        <v>430</v>
      </c>
      <c r="D19" t="s">
        <v>37</v>
      </c>
      <c r="E19" t="s">
        <v>36</v>
      </c>
      <c r="F19">
        <v>457</v>
      </c>
      <c r="G19" s="1">
        <v>1.4999999999999999E-128</v>
      </c>
      <c r="H19">
        <v>429.7</v>
      </c>
      <c r="I19">
        <v>16.7</v>
      </c>
      <c r="J19">
        <v>1</v>
      </c>
      <c r="K19">
        <v>1</v>
      </c>
      <c r="L19" s="1">
        <v>4.6999999999999997E-131</v>
      </c>
      <c r="M19" s="1">
        <v>1.8000000000000001E-128</v>
      </c>
      <c r="N19">
        <v>429.5</v>
      </c>
      <c r="O19">
        <v>16.7</v>
      </c>
      <c r="P19">
        <v>23</v>
      </c>
      <c r="Q19">
        <v>442</v>
      </c>
      <c r="R19">
        <v>17</v>
      </c>
      <c r="S19">
        <v>421</v>
      </c>
      <c r="T19">
        <v>1</v>
      </c>
      <c r="U19">
        <v>429</v>
      </c>
      <c r="V19">
        <v>0.92</v>
      </c>
      <c r="W19" t="s">
        <v>65</v>
      </c>
    </row>
    <row r="20" spans="1:24" x14ac:dyDescent="0.3">
      <c r="A20" t="s">
        <v>66</v>
      </c>
      <c r="B20" t="s">
        <v>36</v>
      </c>
      <c r="C20">
        <v>414</v>
      </c>
      <c r="D20" t="s">
        <v>37</v>
      </c>
      <c r="E20" t="s">
        <v>36</v>
      </c>
      <c r="F20">
        <v>457</v>
      </c>
      <c r="G20" s="1">
        <v>1.8E-127</v>
      </c>
      <c r="H20">
        <v>426.3</v>
      </c>
      <c r="I20">
        <v>25.2</v>
      </c>
      <c r="J20">
        <v>1</v>
      </c>
      <c r="K20">
        <v>1</v>
      </c>
      <c r="L20" s="1">
        <v>5.5000000000000001E-130</v>
      </c>
      <c r="M20" s="1">
        <v>2.1000000000000001E-127</v>
      </c>
      <c r="N20">
        <v>426</v>
      </c>
      <c r="O20">
        <v>25.2</v>
      </c>
      <c r="P20">
        <v>37</v>
      </c>
      <c r="Q20">
        <v>441</v>
      </c>
      <c r="R20">
        <v>23</v>
      </c>
      <c r="S20">
        <v>408</v>
      </c>
      <c r="T20">
        <v>10</v>
      </c>
      <c r="U20">
        <v>414</v>
      </c>
      <c r="V20">
        <v>0.94</v>
      </c>
      <c r="W20" t="s">
        <v>67</v>
      </c>
    </row>
    <row r="21" spans="1:24" x14ac:dyDescent="0.3">
      <c r="A21" t="s">
        <v>68</v>
      </c>
      <c r="B21" t="s">
        <v>36</v>
      </c>
      <c r="C21">
        <v>413</v>
      </c>
      <c r="D21" t="s">
        <v>37</v>
      </c>
      <c r="E21" t="s">
        <v>36</v>
      </c>
      <c r="F21">
        <v>457</v>
      </c>
      <c r="G21" s="1">
        <v>2.3000000000000002E-127</v>
      </c>
      <c r="H21">
        <v>425.9</v>
      </c>
      <c r="I21">
        <v>17.899999999999999</v>
      </c>
      <c r="J21">
        <v>1</v>
      </c>
      <c r="K21">
        <v>1</v>
      </c>
      <c r="L21" s="1">
        <v>7.5999999999999997E-130</v>
      </c>
      <c r="M21" s="1">
        <v>2.9E-127</v>
      </c>
      <c r="N21">
        <v>425.6</v>
      </c>
      <c r="O21">
        <v>17.899999999999999</v>
      </c>
      <c r="P21">
        <v>37</v>
      </c>
      <c r="Q21">
        <v>399</v>
      </c>
      <c r="R21">
        <v>23</v>
      </c>
      <c r="S21">
        <v>406</v>
      </c>
      <c r="T21">
        <v>15</v>
      </c>
      <c r="U21">
        <v>410</v>
      </c>
      <c r="V21">
        <v>0.94</v>
      </c>
      <c r="W21" t="s">
        <v>69</v>
      </c>
      <c r="X21" t="s">
        <v>70</v>
      </c>
    </row>
    <row r="22" spans="1:24" x14ac:dyDescent="0.3">
      <c r="A22" t="s">
        <v>71</v>
      </c>
      <c r="B22" t="s">
        <v>36</v>
      </c>
      <c r="C22">
        <v>410</v>
      </c>
      <c r="D22" t="s">
        <v>37</v>
      </c>
      <c r="E22" t="s">
        <v>36</v>
      </c>
      <c r="F22">
        <v>457</v>
      </c>
      <c r="G22" s="1">
        <v>2.0000000000000001E-122</v>
      </c>
      <c r="H22">
        <v>409.6</v>
      </c>
      <c r="I22">
        <v>17.3</v>
      </c>
      <c r="J22">
        <v>1</v>
      </c>
      <c r="K22">
        <v>1</v>
      </c>
      <c r="L22" s="1">
        <v>6.4999999999999999E-125</v>
      </c>
      <c r="M22" s="1">
        <v>2.3999999999999999E-122</v>
      </c>
      <c r="N22">
        <v>409.3</v>
      </c>
      <c r="O22">
        <v>17.3</v>
      </c>
      <c r="P22">
        <v>13</v>
      </c>
      <c r="Q22">
        <v>414</v>
      </c>
      <c r="R22">
        <v>7</v>
      </c>
      <c r="S22">
        <v>394</v>
      </c>
      <c r="T22">
        <v>1</v>
      </c>
      <c r="U22">
        <v>405</v>
      </c>
      <c r="V22">
        <v>0.92</v>
      </c>
      <c r="W22" t="s">
        <v>72</v>
      </c>
    </row>
    <row r="23" spans="1:24" x14ac:dyDescent="0.3">
      <c r="A23" t="s">
        <v>73</v>
      </c>
      <c r="B23" t="s">
        <v>36</v>
      </c>
      <c r="C23">
        <v>370</v>
      </c>
      <c r="D23" t="s">
        <v>37</v>
      </c>
      <c r="E23" t="s">
        <v>36</v>
      </c>
      <c r="F23">
        <v>457</v>
      </c>
      <c r="G23" s="1">
        <v>1.2999999999999999E-121</v>
      </c>
      <c r="H23">
        <v>406.9</v>
      </c>
      <c r="I23">
        <v>19.2</v>
      </c>
      <c r="J23">
        <v>1</v>
      </c>
      <c r="K23">
        <v>1</v>
      </c>
      <c r="L23" s="1">
        <v>4.3999999999999998E-124</v>
      </c>
      <c r="M23" s="1">
        <v>1.6000000000000001E-121</v>
      </c>
      <c r="N23">
        <v>406.6</v>
      </c>
      <c r="O23">
        <v>19.2</v>
      </c>
      <c r="P23">
        <v>59</v>
      </c>
      <c r="Q23">
        <v>414</v>
      </c>
      <c r="R23">
        <v>10</v>
      </c>
      <c r="S23">
        <v>353</v>
      </c>
      <c r="T23">
        <v>2</v>
      </c>
      <c r="U23">
        <v>365</v>
      </c>
      <c r="V23">
        <v>0.95</v>
      </c>
      <c r="W23" t="s">
        <v>74</v>
      </c>
      <c r="X23" t="s">
        <v>75</v>
      </c>
    </row>
    <row r="24" spans="1:24" x14ac:dyDescent="0.3">
      <c r="A24" t="s">
        <v>76</v>
      </c>
      <c r="B24" t="s">
        <v>36</v>
      </c>
      <c r="C24">
        <v>621</v>
      </c>
      <c r="D24" t="s">
        <v>37</v>
      </c>
      <c r="E24" t="s">
        <v>36</v>
      </c>
      <c r="F24">
        <v>457</v>
      </c>
      <c r="G24" s="1">
        <v>1.7000000000000001E-119</v>
      </c>
      <c r="H24">
        <v>399.9</v>
      </c>
      <c r="I24">
        <v>8.8000000000000007</v>
      </c>
      <c r="J24">
        <v>1</v>
      </c>
      <c r="K24">
        <v>1</v>
      </c>
      <c r="L24" s="1">
        <v>7.9000000000000001E-122</v>
      </c>
      <c r="M24" s="1">
        <v>2.9E-119</v>
      </c>
      <c r="N24">
        <v>399.1</v>
      </c>
      <c r="O24">
        <v>8.8000000000000007</v>
      </c>
      <c r="P24">
        <v>28</v>
      </c>
      <c r="Q24">
        <v>436</v>
      </c>
      <c r="R24">
        <v>94</v>
      </c>
      <c r="S24">
        <v>574</v>
      </c>
      <c r="T24">
        <v>49</v>
      </c>
      <c r="U24">
        <v>601</v>
      </c>
      <c r="V24">
        <v>0.9</v>
      </c>
      <c r="W24" t="s">
        <v>77</v>
      </c>
    </row>
    <row r="25" spans="1:24" x14ac:dyDescent="0.3">
      <c r="A25" t="s">
        <v>78</v>
      </c>
      <c r="B25" t="s">
        <v>36</v>
      </c>
      <c r="C25">
        <v>442</v>
      </c>
      <c r="D25" t="s">
        <v>37</v>
      </c>
      <c r="E25" t="s">
        <v>36</v>
      </c>
      <c r="F25">
        <v>457</v>
      </c>
      <c r="G25" s="1">
        <v>7.6000000000000004E-111</v>
      </c>
      <c r="H25">
        <v>371.4</v>
      </c>
      <c r="I25">
        <v>19.7</v>
      </c>
      <c r="J25">
        <v>1</v>
      </c>
      <c r="K25">
        <v>1</v>
      </c>
      <c r="L25" s="1">
        <v>1.0000000000000001E-111</v>
      </c>
      <c r="M25" s="1">
        <v>3.8E-109</v>
      </c>
      <c r="N25">
        <v>365.8</v>
      </c>
      <c r="O25">
        <v>19.7</v>
      </c>
      <c r="P25">
        <v>30</v>
      </c>
      <c r="Q25">
        <v>418</v>
      </c>
      <c r="R25">
        <v>4</v>
      </c>
      <c r="S25">
        <v>401</v>
      </c>
      <c r="T25">
        <v>1</v>
      </c>
      <c r="U25">
        <v>420</v>
      </c>
      <c r="V25">
        <v>0.9</v>
      </c>
      <c r="W25" t="s">
        <v>72</v>
      </c>
    </row>
    <row r="26" spans="1:24" x14ac:dyDescent="0.3">
      <c r="A26" s="3" t="s">
        <v>79</v>
      </c>
      <c r="B26" s="3" t="s">
        <v>36</v>
      </c>
      <c r="C26" s="3">
        <v>981</v>
      </c>
      <c r="D26" s="3" t="s">
        <v>37</v>
      </c>
      <c r="E26" s="3" t="s">
        <v>36</v>
      </c>
      <c r="F26" s="3">
        <v>457</v>
      </c>
      <c r="G26" s="4">
        <v>1.2000000000000001E-43</v>
      </c>
      <c r="H26" s="3">
        <v>149.9</v>
      </c>
      <c r="I26" s="3">
        <v>15.5</v>
      </c>
      <c r="J26" s="3">
        <v>1</v>
      </c>
      <c r="K26" s="3">
        <v>1</v>
      </c>
      <c r="L26" s="4">
        <v>4.9000000000000001E-46</v>
      </c>
      <c r="M26" s="4">
        <v>1.7999999999999999E-43</v>
      </c>
      <c r="N26" s="3">
        <v>149.30000000000001</v>
      </c>
      <c r="O26" s="3">
        <v>15.5</v>
      </c>
      <c r="P26" s="3">
        <v>137</v>
      </c>
      <c r="Q26" s="3">
        <v>432</v>
      </c>
      <c r="R26" s="3">
        <v>642</v>
      </c>
      <c r="S26" s="3">
        <v>928</v>
      </c>
      <c r="T26" s="3">
        <v>616</v>
      </c>
      <c r="U26" s="3">
        <v>950</v>
      </c>
      <c r="V26" s="3">
        <v>0.85</v>
      </c>
      <c r="W26" s="3" t="s">
        <v>80</v>
      </c>
    </row>
    <row r="27" spans="1:24" x14ac:dyDescent="0.3">
      <c r="A27" s="3" t="s">
        <v>81</v>
      </c>
      <c r="B27" s="3" t="s">
        <v>36</v>
      </c>
      <c r="C27" s="3">
        <v>911</v>
      </c>
      <c r="D27" s="3" t="s">
        <v>37</v>
      </c>
      <c r="E27" s="3" t="s">
        <v>36</v>
      </c>
      <c r="F27" s="3">
        <v>457</v>
      </c>
      <c r="G27" s="4">
        <v>9.8000000000000001E-42</v>
      </c>
      <c r="H27" s="3">
        <v>143.6</v>
      </c>
      <c r="I27" s="3">
        <v>17.600000000000001</v>
      </c>
      <c r="J27" s="3">
        <v>1</v>
      </c>
      <c r="K27" s="3">
        <v>1</v>
      </c>
      <c r="L27" s="4">
        <v>5.1000000000000005E-44</v>
      </c>
      <c r="M27" s="4">
        <v>1.8999999999999999E-41</v>
      </c>
      <c r="N27" s="3">
        <v>142.6</v>
      </c>
      <c r="O27" s="3">
        <v>17.600000000000001</v>
      </c>
      <c r="P27" s="3">
        <v>137</v>
      </c>
      <c r="Q27" s="3">
        <v>421</v>
      </c>
      <c r="R27" s="3">
        <v>599</v>
      </c>
      <c r="S27" s="3">
        <v>871</v>
      </c>
      <c r="T27" s="3">
        <v>572</v>
      </c>
      <c r="U27" s="3">
        <v>903</v>
      </c>
      <c r="V27" s="3">
        <v>0.83</v>
      </c>
      <c r="W27" s="3" t="s">
        <v>82</v>
      </c>
    </row>
    <row r="28" spans="1:24" x14ac:dyDescent="0.3">
      <c r="A28" s="3" t="s">
        <v>83</v>
      </c>
      <c r="B28" s="3" t="s">
        <v>36</v>
      </c>
      <c r="C28" s="3">
        <v>207</v>
      </c>
      <c r="D28" s="3" t="s">
        <v>37</v>
      </c>
      <c r="E28" s="3" t="s">
        <v>36</v>
      </c>
      <c r="F28" s="3">
        <v>457</v>
      </c>
      <c r="G28" s="4">
        <v>1.6999999999999999E-41</v>
      </c>
      <c r="H28" s="3">
        <v>142.80000000000001</v>
      </c>
      <c r="I28" s="3">
        <v>4</v>
      </c>
      <c r="J28" s="3">
        <v>1</v>
      </c>
      <c r="K28" s="3">
        <v>1</v>
      </c>
      <c r="L28" s="4">
        <v>5.4999999999999999E-44</v>
      </c>
      <c r="M28" s="4">
        <v>2.1000000000000001E-41</v>
      </c>
      <c r="N28" s="3">
        <v>142.5</v>
      </c>
      <c r="O28" s="3">
        <v>4</v>
      </c>
      <c r="P28" s="3">
        <v>55</v>
      </c>
      <c r="Q28" s="3">
        <v>207</v>
      </c>
      <c r="R28" s="3">
        <v>38</v>
      </c>
      <c r="S28" s="3">
        <v>184</v>
      </c>
      <c r="T28" s="3">
        <v>28</v>
      </c>
      <c r="U28" s="3">
        <v>204</v>
      </c>
      <c r="V28" s="3">
        <v>0.89</v>
      </c>
      <c r="W28" s="3" t="s">
        <v>84</v>
      </c>
    </row>
    <row r="29" spans="1:24" x14ac:dyDescent="0.3">
      <c r="A29" s="3" t="s">
        <v>85</v>
      </c>
      <c r="B29" s="3" t="s">
        <v>36</v>
      </c>
      <c r="C29" s="3">
        <v>1223</v>
      </c>
      <c r="D29" s="3" t="s">
        <v>37</v>
      </c>
      <c r="E29" s="3" t="s">
        <v>36</v>
      </c>
      <c r="F29" s="3">
        <v>457</v>
      </c>
      <c r="G29" s="4">
        <v>1.2E-40</v>
      </c>
      <c r="H29" s="3">
        <v>140</v>
      </c>
      <c r="I29" s="3">
        <v>26.3</v>
      </c>
      <c r="J29" s="3">
        <v>1</v>
      </c>
      <c r="K29" s="3">
        <v>2</v>
      </c>
      <c r="L29" s="3">
        <v>4.1999999999999997E-3</v>
      </c>
      <c r="M29" s="3">
        <v>1.6</v>
      </c>
      <c r="N29" s="3">
        <v>7.8</v>
      </c>
      <c r="O29" s="3">
        <v>1</v>
      </c>
      <c r="P29" s="3">
        <v>59</v>
      </c>
      <c r="Q29" s="3">
        <v>107</v>
      </c>
      <c r="R29" s="3">
        <v>482</v>
      </c>
      <c r="S29" s="3">
        <v>526</v>
      </c>
      <c r="T29" s="3">
        <v>470</v>
      </c>
      <c r="U29" s="3">
        <v>555</v>
      </c>
      <c r="V29" s="3">
        <v>0.77</v>
      </c>
      <c r="W29" s="3" t="s">
        <v>86</v>
      </c>
    </row>
    <row r="30" spans="1:24" x14ac:dyDescent="0.3">
      <c r="A30" s="3" t="s">
        <v>85</v>
      </c>
      <c r="B30" s="3" t="s">
        <v>36</v>
      </c>
      <c r="C30" s="3">
        <v>1223</v>
      </c>
      <c r="D30" s="3" t="s">
        <v>37</v>
      </c>
      <c r="E30" s="3" t="s">
        <v>36</v>
      </c>
      <c r="F30" s="3">
        <v>457</v>
      </c>
      <c r="G30" s="4">
        <v>1.2E-40</v>
      </c>
      <c r="H30" s="3">
        <v>140</v>
      </c>
      <c r="I30" s="3">
        <v>26.3</v>
      </c>
      <c r="J30" s="3">
        <v>2</v>
      </c>
      <c r="K30" s="3">
        <v>2</v>
      </c>
      <c r="L30" s="4">
        <v>3.7000000000000002E-42</v>
      </c>
      <c r="M30" s="4">
        <v>1.4000000000000001E-39</v>
      </c>
      <c r="N30" s="3">
        <v>136.5</v>
      </c>
      <c r="O30" s="3">
        <v>18.399999999999999</v>
      </c>
      <c r="P30" s="3">
        <v>97</v>
      </c>
      <c r="Q30" s="3">
        <v>437</v>
      </c>
      <c r="R30" s="3">
        <v>817</v>
      </c>
      <c r="S30" s="3">
        <v>1141</v>
      </c>
      <c r="T30" s="3">
        <v>796</v>
      </c>
      <c r="U30" s="3">
        <v>1182</v>
      </c>
      <c r="V30" s="3">
        <v>0.79</v>
      </c>
      <c r="W30" s="3" t="s">
        <v>86</v>
      </c>
    </row>
    <row r="31" spans="1:24" x14ac:dyDescent="0.3">
      <c r="A31" s="3" t="s">
        <v>87</v>
      </c>
      <c r="B31" s="3" t="s">
        <v>36</v>
      </c>
      <c r="C31" s="3">
        <v>1201</v>
      </c>
      <c r="D31" s="3" t="s">
        <v>37</v>
      </c>
      <c r="E31" s="3" t="s">
        <v>36</v>
      </c>
      <c r="F31" s="3">
        <v>457</v>
      </c>
      <c r="G31" s="4">
        <v>1.8999999999999999E-40</v>
      </c>
      <c r="H31" s="3">
        <v>139.4</v>
      </c>
      <c r="I31" s="3">
        <v>27.1</v>
      </c>
      <c r="J31" s="3">
        <v>1</v>
      </c>
      <c r="K31" s="3">
        <v>2</v>
      </c>
      <c r="L31" s="3">
        <v>4.1000000000000003E-3</v>
      </c>
      <c r="M31" s="3">
        <v>1.5</v>
      </c>
      <c r="N31" s="3">
        <v>7.8</v>
      </c>
      <c r="O31" s="3">
        <v>1</v>
      </c>
      <c r="P31" s="3">
        <v>59</v>
      </c>
      <c r="Q31" s="3">
        <v>107</v>
      </c>
      <c r="R31" s="3">
        <v>482</v>
      </c>
      <c r="S31" s="3">
        <v>526</v>
      </c>
      <c r="T31" s="3">
        <v>470</v>
      </c>
      <c r="U31" s="3">
        <v>555</v>
      </c>
      <c r="V31" s="3">
        <v>0.77</v>
      </c>
      <c r="W31" s="3" t="s">
        <v>88</v>
      </c>
    </row>
    <row r="32" spans="1:24" x14ac:dyDescent="0.3">
      <c r="A32" s="3" t="s">
        <v>87</v>
      </c>
      <c r="B32" s="3" t="s">
        <v>36</v>
      </c>
      <c r="C32" s="3">
        <v>1201</v>
      </c>
      <c r="D32" s="3" t="s">
        <v>37</v>
      </c>
      <c r="E32" s="3" t="s">
        <v>36</v>
      </c>
      <c r="F32" s="3">
        <v>457</v>
      </c>
      <c r="G32" s="4">
        <v>1.8999999999999999E-40</v>
      </c>
      <c r="H32" s="3">
        <v>139.4</v>
      </c>
      <c r="I32" s="3">
        <v>27.1</v>
      </c>
      <c r="J32" s="3">
        <v>2</v>
      </c>
      <c r="K32" s="3">
        <v>2</v>
      </c>
      <c r="L32" s="4">
        <v>6.0999999999999999E-42</v>
      </c>
      <c r="M32" s="4">
        <v>2.3000000000000001E-39</v>
      </c>
      <c r="N32" s="3">
        <v>135.80000000000001</v>
      </c>
      <c r="O32" s="3">
        <v>19.100000000000001</v>
      </c>
      <c r="P32" s="3">
        <v>97</v>
      </c>
      <c r="Q32" s="3">
        <v>437</v>
      </c>
      <c r="R32" s="3">
        <v>817</v>
      </c>
      <c r="S32" s="3">
        <v>1141</v>
      </c>
      <c r="T32" s="3">
        <v>796</v>
      </c>
      <c r="U32" s="3">
        <v>1177</v>
      </c>
      <c r="V32" s="3">
        <v>0.79</v>
      </c>
      <c r="W32" s="3" t="s">
        <v>88</v>
      </c>
    </row>
    <row r="33" spans="1:23" x14ac:dyDescent="0.3">
      <c r="A33" s="3" t="s">
        <v>89</v>
      </c>
      <c r="B33" s="3" t="s">
        <v>36</v>
      </c>
      <c r="C33" s="3">
        <v>1444</v>
      </c>
      <c r="D33" s="3" t="s">
        <v>37</v>
      </c>
      <c r="E33" s="3" t="s">
        <v>36</v>
      </c>
      <c r="F33" s="3">
        <v>457</v>
      </c>
      <c r="G33" s="4">
        <v>2.4999999999999998E-40</v>
      </c>
      <c r="H33" s="3">
        <v>138.9</v>
      </c>
      <c r="I33" s="3">
        <v>26.7</v>
      </c>
      <c r="J33" s="3">
        <v>1</v>
      </c>
      <c r="K33" s="3">
        <v>2</v>
      </c>
      <c r="L33" s="3">
        <v>5.0000000000000001E-3</v>
      </c>
      <c r="M33" s="3">
        <v>1.9</v>
      </c>
      <c r="N33" s="3">
        <v>7.5</v>
      </c>
      <c r="O33" s="3">
        <v>1</v>
      </c>
      <c r="P33" s="3">
        <v>59</v>
      </c>
      <c r="Q33" s="3">
        <v>107</v>
      </c>
      <c r="R33" s="3">
        <v>482</v>
      </c>
      <c r="S33" s="3">
        <v>526</v>
      </c>
      <c r="T33" s="3">
        <v>470</v>
      </c>
      <c r="U33" s="3">
        <v>555</v>
      </c>
      <c r="V33" s="3">
        <v>0.77</v>
      </c>
      <c r="W33" s="3" t="s">
        <v>90</v>
      </c>
    </row>
    <row r="34" spans="1:23" x14ac:dyDescent="0.3">
      <c r="A34" s="3" t="s">
        <v>89</v>
      </c>
      <c r="B34" s="3" t="s">
        <v>36</v>
      </c>
      <c r="C34" s="3">
        <v>1444</v>
      </c>
      <c r="D34" s="3" t="s">
        <v>37</v>
      </c>
      <c r="E34" s="3" t="s">
        <v>36</v>
      </c>
      <c r="F34" s="3">
        <v>457</v>
      </c>
      <c r="G34" s="4">
        <v>2.4999999999999998E-40</v>
      </c>
      <c r="H34" s="3">
        <v>138.9</v>
      </c>
      <c r="I34" s="3">
        <v>26.7</v>
      </c>
      <c r="J34" s="3">
        <v>2</v>
      </c>
      <c r="K34" s="3">
        <v>2</v>
      </c>
      <c r="L34" s="4">
        <v>6.2999999999999999E-42</v>
      </c>
      <c r="M34" s="4">
        <v>2.4000000000000002E-39</v>
      </c>
      <c r="N34" s="3">
        <v>135.69999999999999</v>
      </c>
      <c r="O34" s="3">
        <v>18.8</v>
      </c>
      <c r="P34" s="3">
        <v>97</v>
      </c>
      <c r="Q34" s="3">
        <v>438</v>
      </c>
      <c r="R34" s="3">
        <v>817</v>
      </c>
      <c r="S34" s="3">
        <v>1142</v>
      </c>
      <c r="T34" s="3">
        <v>796</v>
      </c>
      <c r="U34" s="3">
        <v>1190</v>
      </c>
      <c r="V34" s="3">
        <v>0.79</v>
      </c>
      <c r="W34" s="3" t="s">
        <v>90</v>
      </c>
    </row>
    <row r="35" spans="1:23" x14ac:dyDescent="0.3">
      <c r="A35" s="3" t="s">
        <v>91</v>
      </c>
      <c r="B35" s="3" t="s">
        <v>36</v>
      </c>
      <c r="C35" s="3">
        <v>1431</v>
      </c>
      <c r="D35" s="3" t="s">
        <v>37</v>
      </c>
      <c r="E35" s="3" t="s">
        <v>36</v>
      </c>
      <c r="F35" s="3">
        <v>457</v>
      </c>
      <c r="G35" s="4">
        <v>2.4999999999999998E-40</v>
      </c>
      <c r="H35" s="3">
        <v>138.9</v>
      </c>
      <c r="I35" s="3">
        <v>26.7</v>
      </c>
      <c r="J35" s="3">
        <v>1</v>
      </c>
      <c r="K35" s="3">
        <v>2</v>
      </c>
      <c r="L35" s="3">
        <v>5.0000000000000001E-3</v>
      </c>
      <c r="M35" s="3">
        <v>1.9</v>
      </c>
      <c r="N35" s="3">
        <v>7.5</v>
      </c>
      <c r="O35" s="3">
        <v>1</v>
      </c>
      <c r="P35" s="3">
        <v>59</v>
      </c>
      <c r="Q35" s="3">
        <v>107</v>
      </c>
      <c r="R35" s="3">
        <v>482</v>
      </c>
      <c r="S35" s="3">
        <v>526</v>
      </c>
      <c r="T35" s="3">
        <v>470</v>
      </c>
      <c r="U35" s="3">
        <v>555</v>
      </c>
      <c r="V35" s="3">
        <v>0.77</v>
      </c>
      <c r="W35" s="3" t="s">
        <v>92</v>
      </c>
    </row>
    <row r="36" spans="1:23" x14ac:dyDescent="0.3">
      <c r="A36" s="3" t="s">
        <v>91</v>
      </c>
      <c r="B36" s="3" t="s">
        <v>36</v>
      </c>
      <c r="C36" s="3">
        <v>1431</v>
      </c>
      <c r="D36" s="3" t="s">
        <v>37</v>
      </c>
      <c r="E36" s="3" t="s">
        <v>36</v>
      </c>
      <c r="F36" s="3">
        <v>457</v>
      </c>
      <c r="G36" s="4">
        <v>2.4999999999999998E-40</v>
      </c>
      <c r="H36" s="3">
        <v>138.9</v>
      </c>
      <c r="I36" s="3">
        <v>26.7</v>
      </c>
      <c r="J36" s="3">
        <v>2</v>
      </c>
      <c r="K36" s="3">
        <v>2</v>
      </c>
      <c r="L36" s="4">
        <v>6.2000000000000005E-42</v>
      </c>
      <c r="M36" s="4">
        <v>2.3000000000000001E-39</v>
      </c>
      <c r="N36" s="3">
        <v>135.69999999999999</v>
      </c>
      <c r="O36" s="3">
        <v>18.8</v>
      </c>
      <c r="P36" s="3">
        <v>97</v>
      </c>
      <c r="Q36" s="3">
        <v>438</v>
      </c>
      <c r="R36" s="3">
        <v>804</v>
      </c>
      <c r="S36" s="3">
        <v>1129</v>
      </c>
      <c r="T36" s="3">
        <v>783</v>
      </c>
      <c r="U36" s="3">
        <v>1177</v>
      </c>
      <c r="V36" s="3">
        <v>0.79</v>
      </c>
      <c r="W36" s="3" t="s">
        <v>92</v>
      </c>
    </row>
    <row r="37" spans="1:23" x14ac:dyDescent="0.3">
      <c r="A37" s="3" t="s">
        <v>93</v>
      </c>
      <c r="B37" s="3" t="s">
        <v>36</v>
      </c>
      <c r="C37" s="3">
        <v>1418</v>
      </c>
      <c r="D37" s="3" t="s">
        <v>37</v>
      </c>
      <c r="E37" s="3" t="s">
        <v>36</v>
      </c>
      <c r="F37" s="3">
        <v>457</v>
      </c>
      <c r="G37" s="4">
        <v>1.0000000000000001E-37</v>
      </c>
      <c r="H37" s="3">
        <v>130.30000000000001</v>
      </c>
      <c r="I37" s="3">
        <v>24.4</v>
      </c>
      <c r="J37" s="3">
        <v>1</v>
      </c>
      <c r="K37" s="3">
        <v>2</v>
      </c>
      <c r="L37" s="3">
        <v>3.3000000000000002E-2</v>
      </c>
      <c r="M37" s="3">
        <v>13</v>
      </c>
      <c r="N37" s="3">
        <v>4.8</v>
      </c>
      <c r="O37" s="3">
        <v>0.1</v>
      </c>
      <c r="P37" s="3">
        <v>57</v>
      </c>
      <c r="Q37" s="3">
        <v>107</v>
      </c>
      <c r="R37" s="3">
        <v>469</v>
      </c>
      <c r="S37" s="3">
        <v>515</v>
      </c>
      <c r="T37" s="3">
        <v>453</v>
      </c>
      <c r="U37" s="3">
        <v>568</v>
      </c>
      <c r="V37" s="3">
        <v>0.77</v>
      </c>
      <c r="W37" s="3" t="s">
        <v>94</v>
      </c>
    </row>
    <row r="38" spans="1:23" x14ac:dyDescent="0.3">
      <c r="A38" s="3" t="s">
        <v>93</v>
      </c>
      <c r="B38" s="3" t="s">
        <v>36</v>
      </c>
      <c r="C38" s="3">
        <v>1418</v>
      </c>
      <c r="D38" s="3" t="s">
        <v>37</v>
      </c>
      <c r="E38" s="3" t="s">
        <v>36</v>
      </c>
      <c r="F38" s="3">
        <v>457</v>
      </c>
      <c r="G38" s="4">
        <v>1.0000000000000001E-37</v>
      </c>
      <c r="H38" s="3">
        <v>130.30000000000001</v>
      </c>
      <c r="I38" s="3">
        <v>24.4</v>
      </c>
      <c r="J38" s="3">
        <v>2</v>
      </c>
      <c r="K38" s="3">
        <v>2</v>
      </c>
      <c r="L38" s="4">
        <v>4.8000000000000003E-39</v>
      </c>
      <c r="M38" s="4">
        <v>1.8000000000000002E-36</v>
      </c>
      <c r="N38" s="3">
        <v>126.2</v>
      </c>
      <c r="O38" s="3">
        <v>20.9</v>
      </c>
      <c r="P38" s="3">
        <v>129</v>
      </c>
      <c r="Q38" s="3">
        <v>442</v>
      </c>
      <c r="R38" s="3">
        <v>836</v>
      </c>
      <c r="S38" s="3">
        <v>1135</v>
      </c>
      <c r="T38" s="3">
        <v>793</v>
      </c>
      <c r="U38" s="3">
        <v>1181</v>
      </c>
      <c r="V38" s="3">
        <v>0.8</v>
      </c>
      <c r="W38" s="3" t="s">
        <v>94</v>
      </c>
    </row>
    <row r="39" spans="1:23" x14ac:dyDescent="0.3">
      <c r="A39" s="3" t="s">
        <v>95</v>
      </c>
      <c r="B39" s="3" t="s">
        <v>36</v>
      </c>
      <c r="C39" s="3">
        <v>1418</v>
      </c>
      <c r="D39" s="3" t="s">
        <v>37</v>
      </c>
      <c r="E39" s="3" t="s">
        <v>36</v>
      </c>
      <c r="F39" s="3">
        <v>457</v>
      </c>
      <c r="G39" s="4">
        <v>1.0000000000000001E-37</v>
      </c>
      <c r="H39" s="3">
        <v>130.30000000000001</v>
      </c>
      <c r="I39" s="3">
        <v>24.4</v>
      </c>
      <c r="J39" s="3">
        <v>1</v>
      </c>
      <c r="K39" s="3">
        <v>2</v>
      </c>
      <c r="L39" s="3">
        <v>3.3000000000000002E-2</v>
      </c>
      <c r="M39" s="3">
        <v>13</v>
      </c>
      <c r="N39" s="3">
        <v>4.8</v>
      </c>
      <c r="O39" s="3">
        <v>0.1</v>
      </c>
      <c r="P39" s="3">
        <v>57</v>
      </c>
      <c r="Q39" s="3">
        <v>107</v>
      </c>
      <c r="R39" s="3">
        <v>469</v>
      </c>
      <c r="S39" s="3">
        <v>515</v>
      </c>
      <c r="T39" s="3">
        <v>453</v>
      </c>
      <c r="U39" s="3">
        <v>568</v>
      </c>
      <c r="V39" s="3">
        <v>0.77</v>
      </c>
      <c r="W39" s="3" t="s">
        <v>94</v>
      </c>
    </row>
    <row r="40" spans="1:23" x14ac:dyDescent="0.3">
      <c r="A40" s="3" t="s">
        <v>95</v>
      </c>
      <c r="B40" s="3" t="s">
        <v>36</v>
      </c>
      <c r="C40" s="3">
        <v>1418</v>
      </c>
      <c r="D40" s="3" t="s">
        <v>37</v>
      </c>
      <c r="E40" s="3" t="s">
        <v>36</v>
      </c>
      <c r="F40" s="3">
        <v>457</v>
      </c>
      <c r="G40" s="4">
        <v>1.0000000000000001E-37</v>
      </c>
      <c r="H40" s="3">
        <v>130.30000000000001</v>
      </c>
      <c r="I40" s="3">
        <v>24.4</v>
      </c>
      <c r="J40" s="3">
        <v>2</v>
      </c>
      <c r="K40" s="3">
        <v>2</v>
      </c>
      <c r="L40" s="4">
        <v>4.8000000000000003E-39</v>
      </c>
      <c r="M40" s="4">
        <v>1.8000000000000002E-36</v>
      </c>
      <c r="N40" s="3">
        <v>126.2</v>
      </c>
      <c r="O40" s="3">
        <v>20.9</v>
      </c>
      <c r="P40" s="3">
        <v>129</v>
      </c>
      <c r="Q40" s="3">
        <v>442</v>
      </c>
      <c r="R40" s="3">
        <v>836</v>
      </c>
      <c r="S40" s="3">
        <v>1135</v>
      </c>
      <c r="T40" s="3">
        <v>793</v>
      </c>
      <c r="U40" s="3">
        <v>1181</v>
      </c>
      <c r="V40" s="3">
        <v>0.8</v>
      </c>
      <c r="W40" s="3" t="s">
        <v>94</v>
      </c>
    </row>
    <row r="41" spans="1:23" x14ac:dyDescent="0.3">
      <c r="A41" s="3" t="s">
        <v>96</v>
      </c>
      <c r="B41" s="3" t="s">
        <v>36</v>
      </c>
      <c r="C41" s="3">
        <v>1405</v>
      </c>
      <c r="D41" s="3" t="s">
        <v>37</v>
      </c>
      <c r="E41" s="3" t="s">
        <v>36</v>
      </c>
      <c r="F41" s="3">
        <v>457</v>
      </c>
      <c r="G41" s="4">
        <v>1.4000000000000001E-37</v>
      </c>
      <c r="H41" s="3">
        <v>129.9</v>
      </c>
      <c r="I41" s="3">
        <v>24.8</v>
      </c>
      <c r="J41" s="3">
        <v>1</v>
      </c>
      <c r="K41" s="3">
        <v>2</v>
      </c>
      <c r="L41" s="3">
        <v>3.4000000000000002E-2</v>
      </c>
      <c r="M41" s="3">
        <v>13</v>
      </c>
      <c r="N41" s="3">
        <v>4.7</v>
      </c>
      <c r="O41" s="3">
        <v>0.1</v>
      </c>
      <c r="P41" s="3">
        <v>57</v>
      </c>
      <c r="Q41" s="3">
        <v>107</v>
      </c>
      <c r="R41" s="3">
        <v>469</v>
      </c>
      <c r="S41" s="3">
        <v>515</v>
      </c>
      <c r="T41" s="3">
        <v>453</v>
      </c>
      <c r="U41" s="3">
        <v>566</v>
      </c>
      <c r="V41" s="3">
        <v>0.77</v>
      </c>
      <c r="W41" s="3" t="s">
        <v>97</v>
      </c>
    </row>
    <row r="42" spans="1:23" x14ac:dyDescent="0.3">
      <c r="A42" s="3" t="s">
        <v>96</v>
      </c>
      <c r="B42" s="3" t="s">
        <v>36</v>
      </c>
      <c r="C42" s="3">
        <v>1405</v>
      </c>
      <c r="D42" s="3" t="s">
        <v>37</v>
      </c>
      <c r="E42" s="3" t="s">
        <v>36</v>
      </c>
      <c r="F42" s="3">
        <v>457</v>
      </c>
      <c r="G42" s="4">
        <v>1.4000000000000001E-37</v>
      </c>
      <c r="H42" s="3">
        <v>129.9</v>
      </c>
      <c r="I42" s="3">
        <v>24.8</v>
      </c>
      <c r="J42" s="3">
        <v>2</v>
      </c>
      <c r="K42" s="3">
        <v>2</v>
      </c>
      <c r="L42" s="4">
        <v>4.7000000000000002E-39</v>
      </c>
      <c r="M42" s="4">
        <v>1.8000000000000002E-36</v>
      </c>
      <c r="N42" s="3">
        <v>126.3</v>
      </c>
      <c r="O42" s="3">
        <v>20.9</v>
      </c>
      <c r="P42" s="3">
        <v>129</v>
      </c>
      <c r="Q42" s="3">
        <v>442</v>
      </c>
      <c r="R42" s="3">
        <v>823</v>
      </c>
      <c r="S42" s="3">
        <v>1122</v>
      </c>
      <c r="T42" s="3">
        <v>780</v>
      </c>
      <c r="U42" s="3">
        <v>1168</v>
      </c>
      <c r="V42" s="3">
        <v>0.8</v>
      </c>
      <c r="W42" s="3" t="s">
        <v>97</v>
      </c>
    </row>
    <row r="43" spans="1:23" x14ac:dyDescent="0.3">
      <c r="A43" s="3" t="s">
        <v>98</v>
      </c>
      <c r="B43" s="3" t="s">
        <v>36</v>
      </c>
      <c r="C43" s="3">
        <v>1491</v>
      </c>
      <c r="D43" s="3" t="s">
        <v>37</v>
      </c>
      <c r="E43" s="3" t="s">
        <v>36</v>
      </c>
      <c r="F43" s="3">
        <v>457</v>
      </c>
      <c r="G43" s="4">
        <v>1.7000000000000001E-36</v>
      </c>
      <c r="H43" s="3">
        <v>126.3</v>
      </c>
      <c r="I43" s="3">
        <v>22.8</v>
      </c>
      <c r="J43" s="3">
        <v>1</v>
      </c>
      <c r="K43" s="3">
        <v>2</v>
      </c>
      <c r="L43" s="3">
        <v>3.5000000000000003E-2</v>
      </c>
      <c r="M43" s="3">
        <v>13</v>
      </c>
      <c r="N43" s="3">
        <v>4.7</v>
      </c>
      <c r="O43" s="3">
        <v>0.1</v>
      </c>
      <c r="P43" s="3">
        <v>57</v>
      </c>
      <c r="Q43" s="3">
        <v>107</v>
      </c>
      <c r="R43" s="3">
        <v>469</v>
      </c>
      <c r="S43" s="3">
        <v>515</v>
      </c>
      <c r="T43" s="3">
        <v>453</v>
      </c>
      <c r="U43" s="3">
        <v>568</v>
      </c>
      <c r="V43" s="3">
        <v>0.77</v>
      </c>
      <c r="W43" s="3" t="s">
        <v>99</v>
      </c>
    </row>
    <row r="44" spans="1:23" x14ac:dyDescent="0.3">
      <c r="A44" s="3" t="s">
        <v>98</v>
      </c>
      <c r="B44" s="3" t="s">
        <v>36</v>
      </c>
      <c r="C44" s="3">
        <v>1491</v>
      </c>
      <c r="D44" s="3" t="s">
        <v>37</v>
      </c>
      <c r="E44" s="3" t="s">
        <v>36</v>
      </c>
      <c r="F44" s="3">
        <v>457</v>
      </c>
      <c r="G44" s="4">
        <v>1.7000000000000001E-36</v>
      </c>
      <c r="H44" s="3">
        <v>126.3</v>
      </c>
      <c r="I44" s="3">
        <v>22.8</v>
      </c>
      <c r="J44" s="3">
        <v>2</v>
      </c>
      <c r="K44" s="3">
        <v>2</v>
      </c>
      <c r="L44" s="4">
        <v>7.5999999999999999E-38</v>
      </c>
      <c r="M44" s="4">
        <v>2.8E-35</v>
      </c>
      <c r="N44" s="3">
        <v>122.3</v>
      </c>
      <c r="O44" s="3">
        <v>19.3</v>
      </c>
      <c r="P44" s="3">
        <v>129</v>
      </c>
      <c r="Q44" s="3">
        <v>441</v>
      </c>
      <c r="R44" s="3">
        <v>836</v>
      </c>
      <c r="S44" s="3">
        <v>1158</v>
      </c>
      <c r="T44" s="3">
        <v>793</v>
      </c>
      <c r="U44" s="3">
        <v>1200</v>
      </c>
      <c r="V44" s="3">
        <v>0.81</v>
      </c>
      <c r="W44" s="3" t="s">
        <v>99</v>
      </c>
    </row>
    <row r="45" spans="1:23" x14ac:dyDescent="0.3">
      <c r="A45" s="3" t="s">
        <v>100</v>
      </c>
      <c r="B45" s="3" t="s">
        <v>36</v>
      </c>
      <c r="C45" s="3">
        <v>385</v>
      </c>
      <c r="D45" s="3" t="s">
        <v>37</v>
      </c>
      <c r="E45" s="3" t="s">
        <v>36</v>
      </c>
      <c r="F45" s="3">
        <v>457</v>
      </c>
      <c r="G45" s="4">
        <v>1.7E-34</v>
      </c>
      <c r="H45" s="3">
        <v>119.7</v>
      </c>
      <c r="I45" s="3">
        <v>23.6</v>
      </c>
      <c r="J45" s="3">
        <v>1</v>
      </c>
      <c r="K45" s="3">
        <v>1</v>
      </c>
      <c r="L45" s="4">
        <v>9.3000000000000002E-37</v>
      </c>
      <c r="M45" s="4">
        <v>3.4999999999999999E-34</v>
      </c>
      <c r="N45" s="3">
        <v>118.7</v>
      </c>
      <c r="O45" s="3">
        <v>23.6</v>
      </c>
      <c r="P45" s="3">
        <v>131</v>
      </c>
      <c r="Q45" s="3">
        <v>420</v>
      </c>
      <c r="R45" s="3">
        <v>88</v>
      </c>
      <c r="S45" s="3">
        <v>362</v>
      </c>
      <c r="T45" s="3">
        <v>56</v>
      </c>
      <c r="U45" s="3">
        <v>382</v>
      </c>
      <c r="V45" s="3">
        <v>0.82</v>
      </c>
      <c r="W45" s="3" t="s">
        <v>101</v>
      </c>
    </row>
    <row r="46" spans="1:23" x14ac:dyDescent="0.3">
      <c r="A46" s="3" t="s">
        <v>102</v>
      </c>
      <c r="B46" s="3" t="s">
        <v>36</v>
      </c>
      <c r="C46" s="3">
        <v>562</v>
      </c>
      <c r="D46" s="3" t="s">
        <v>37</v>
      </c>
      <c r="E46" s="3" t="s">
        <v>36</v>
      </c>
      <c r="F46" s="3">
        <v>457</v>
      </c>
      <c r="G46" s="4">
        <v>9.5999999999999996E-34</v>
      </c>
      <c r="H46" s="3">
        <v>117.2</v>
      </c>
      <c r="I46" s="3">
        <v>30</v>
      </c>
      <c r="J46" s="3">
        <v>1</v>
      </c>
      <c r="K46" s="3">
        <v>1</v>
      </c>
      <c r="L46" s="4">
        <v>6.2999999999999994E-36</v>
      </c>
      <c r="M46" s="4">
        <v>2.4E-33</v>
      </c>
      <c r="N46" s="3">
        <v>115.9</v>
      </c>
      <c r="O46" s="3">
        <v>29.9</v>
      </c>
      <c r="P46" s="3">
        <v>131</v>
      </c>
      <c r="Q46" s="3">
        <v>427</v>
      </c>
      <c r="R46" s="3">
        <v>270</v>
      </c>
      <c r="S46" s="3">
        <v>551</v>
      </c>
      <c r="T46" s="3">
        <v>234</v>
      </c>
      <c r="U46" s="3">
        <v>561</v>
      </c>
      <c r="V46" s="3">
        <v>0.85</v>
      </c>
      <c r="W46" s="3" t="s">
        <v>103</v>
      </c>
    </row>
    <row r="47" spans="1:23" x14ac:dyDescent="0.3">
      <c r="A47" s="3" t="s">
        <v>104</v>
      </c>
      <c r="B47" s="3" t="s">
        <v>36</v>
      </c>
      <c r="C47" s="3">
        <v>1481</v>
      </c>
      <c r="D47" s="3" t="s">
        <v>37</v>
      </c>
      <c r="E47" s="3" t="s">
        <v>36</v>
      </c>
      <c r="F47" s="3">
        <v>457</v>
      </c>
      <c r="G47" s="4">
        <v>8.2E-33</v>
      </c>
      <c r="H47" s="3">
        <v>114.2</v>
      </c>
      <c r="I47" s="3">
        <v>20.7</v>
      </c>
      <c r="J47" s="3">
        <v>1</v>
      </c>
      <c r="K47" s="3">
        <v>3</v>
      </c>
      <c r="L47" s="3">
        <v>9.6</v>
      </c>
      <c r="M47" s="4">
        <v>3600</v>
      </c>
      <c r="N47" s="3">
        <v>-3.3</v>
      </c>
      <c r="O47" s="3">
        <v>0.4</v>
      </c>
      <c r="P47" s="3">
        <v>68</v>
      </c>
      <c r="Q47" s="3">
        <v>111</v>
      </c>
      <c r="R47" s="3">
        <v>127</v>
      </c>
      <c r="S47" s="3">
        <v>167</v>
      </c>
      <c r="T47" s="3">
        <v>96</v>
      </c>
      <c r="U47" s="3">
        <v>186</v>
      </c>
      <c r="V47" s="3">
        <v>0.82</v>
      </c>
      <c r="W47" s="3" t="s">
        <v>105</v>
      </c>
    </row>
    <row r="48" spans="1:23" x14ac:dyDescent="0.3">
      <c r="A48" s="3" t="s">
        <v>104</v>
      </c>
      <c r="B48" s="3" t="s">
        <v>36</v>
      </c>
      <c r="C48" s="3">
        <v>1481</v>
      </c>
      <c r="D48" s="3" t="s">
        <v>37</v>
      </c>
      <c r="E48" s="3" t="s">
        <v>36</v>
      </c>
      <c r="F48" s="3">
        <v>457</v>
      </c>
      <c r="G48" s="4">
        <v>8.2E-33</v>
      </c>
      <c r="H48" s="3">
        <v>114.2</v>
      </c>
      <c r="I48" s="3">
        <v>20.7</v>
      </c>
      <c r="J48" s="3">
        <v>2</v>
      </c>
      <c r="K48" s="3">
        <v>3</v>
      </c>
      <c r="L48" s="3">
        <v>2.3E-2</v>
      </c>
      <c r="M48" s="3">
        <v>8.8000000000000007</v>
      </c>
      <c r="N48" s="3">
        <v>5.3</v>
      </c>
      <c r="O48" s="3">
        <v>0.2</v>
      </c>
      <c r="P48" s="3">
        <v>53</v>
      </c>
      <c r="Q48" s="3">
        <v>88</v>
      </c>
      <c r="R48" s="3">
        <v>464</v>
      </c>
      <c r="S48" s="3">
        <v>499</v>
      </c>
      <c r="T48" s="3">
        <v>455</v>
      </c>
      <c r="U48" s="3">
        <v>543</v>
      </c>
      <c r="V48" s="3">
        <v>0.86</v>
      </c>
      <c r="W48" s="3" t="s">
        <v>105</v>
      </c>
    </row>
    <row r="49" spans="1:24" x14ac:dyDescent="0.3">
      <c r="A49" s="3" t="s">
        <v>104</v>
      </c>
      <c r="B49" s="3" t="s">
        <v>36</v>
      </c>
      <c r="C49" s="3">
        <v>1481</v>
      </c>
      <c r="D49" s="3" t="s">
        <v>37</v>
      </c>
      <c r="E49" s="3" t="s">
        <v>36</v>
      </c>
      <c r="F49" s="3">
        <v>457</v>
      </c>
      <c r="G49" s="4">
        <v>8.2E-33</v>
      </c>
      <c r="H49" s="3">
        <v>114.2</v>
      </c>
      <c r="I49" s="3">
        <v>20.7</v>
      </c>
      <c r="J49" s="3">
        <v>3</v>
      </c>
      <c r="K49" s="3">
        <v>3</v>
      </c>
      <c r="L49" s="4">
        <v>2.1999999999999999E-35</v>
      </c>
      <c r="M49" s="4">
        <v>8.2E-33</v>
      </c>
      <c r="N49" s="3">
        <v>114.2</v>
      </c>
      <c r="O49" s="3">
        <v>20.7</v>
      </c>
      <c r="P49" s="3">
        <v>129</v>
      </c>
      <c r="Q49" s="3">
        <v>435</v>
      </c>
      <c r="R49" s="3">
        <v>829</v>
      </c>
      <c r="S49" s="3">
        <v>1138</v>
      </c>
      <c r="T49" s="3">
        <v>792</v>
      </c>
      <c r="U49" s="3">
        <v>1179</v>
      </c>
      <c r="V49" s="3">
        <v>0.78</v>
      </c>
      <c r="W49" s="3" t="s">
        <v>105</v>
      </c>
    </row>
    <row r="50" spans="1:24" x14ac:dyDescent="0.3">
      <c r="A50" s="3" t="s">
        <v>106</v>
      </c>
      <c r="B50" s="3" t="s">
        <v>36</v>
      </c>
      <c r="C50" s="3">
        <v>562</v>
      </c>
      <c r="D50" s="3" t="s">
        <v>37</v>
      </c>
      <c r="E50" s="3" t="s">
        <v>36</v>
      </c>
      <c r="F50" s="3">
        <v>457</v>
      </c>
      <c r="G50" s="4">
        <v>1.8E-32</v>
      </c>
      <c r="H50" s="3">
        <v>113</v>
      </c>
      <c r="I50" s="3">
        <v>13.4</v>
      </c>
      <c r="J50" s="3">
        <v>1</v>
      </c>
      <c r="K50" s="3">
        <v>1</v>
      </c>
      <c r="L50" s="4">
        <v>8.5000000000000001E-35</v>
      </c>
      <c r="M50" s="4">
        <v>3.2000000000000002E-32</v>
      </c>
      <c r="N50" s="3">
        <v>112.2</v>
      </c>
      <c r="O50" s="3">
        <v>13.4</v>
      </c>
      <c r="P50" s="3">
        <v>136</v>
      </c>
      <c r="Q50" s="3">
        <v>434</v>
      </c>
      <c r="R50" s="3">
        <v>264</v>
      </c>
      <c r="S50" s="3">
        <v>552</v>
      </c>
      <c r="T50" s="3">
        <v>214</v>
      </c>
      <c r="U50" s="3">
        <v>561</v>
      </c>
      <c r="V50" s="3">
        <v>0.85</v>
      </c>
      <c r="W50" s="3" t="s">
        <v>107</v>
      </c>
    </row>
    <row r="51" spans="1:24" x14ac:dyDescent="0.3">
      <c r="A51" s="3" t="s">
        <v>108</v>
      </c>
      <c r="B51" s="3" t="s">
        <v>36</v>
      </c>
      <c r="C51" s="3">
        <v>543</v>
      </c>
      <c r="D51" s="3" t="s">
        <v>37</v>
      </c>
      <c r="E51" s="3" t="s">
        <v>36</v>
      </c>
      <c r="F51" s="3">
        <v>457</v>
      </c>
      <c r="G51" s="4">
        <v>3.9000000000000001E-32</v>
      </c>
      <c r="H51" s="3">
        <v>111.9</v>
      </c>
      <c r="I51" s="3">
        <v>14</v>
      </c>
      <c r="J51" s="3">
        <v>1</v>
      </c>
      <c r="K51" s="3">
        <v>1</v>
      </c>
      <c r="L51" s="4">
        <v>1.8E-34</v>
      </c>
      <c r="M51" s="4">
        <v>6.7E-32</v>
      </c>
      <c r="N51" s="3">
        <v>111.2</v>
      </c>
      <c r="O51" s="3">
        <v>14</v>
      </c>
      <c r="P51" s="3">
        <v>137</v>
      </c>
      <c r="Q51" s="3">
        <v>433</v>
      </c>
      <c r="R51" s="3">
        <v>246</v>
      </c>
      <c r="S51" s="3">
        <v>532</v>
      </c>
      <c r="T51" s="3">
        <v>195</v>
      </c>
      <c r="U51" s="3">
        <v>542</v>
      </c>
      <c r="V51" s="3">
        <v>0.85</v>
      </c>
      <c r="W51" s="3" t="s">
        <v>107</v>
      </c>
    </row>
    <row r="52" spans="1:24" x14ac:dyDescent="0.3">
      <c r="A52" s="3" t="s">
        <v>109</v>
      </c>
      <c r="B52" s="3" t="s">
        <v>36</v>
      </c>
      <c r="C52" s="3">
        <v>548</v>
      </c>
      <c r="D52" s="3" t="s">
        <v>37</v>
      </c>
      <c r="E52" s="3" t="s">
        <v>36</v>
      </c>
      <c r="F52" s="3">
        <v>457</v>
      </c>
      <c r="G52" s="4">
        <v>4.1999999999999998E-32</v>
      </c>
      <c r="H52" s="3">
        <v>111.8</v>
      </c>
      <c r="I52" s="3">
        <v>23.3</v>
      </c>
      <c r="J52" s="3">
        <v>1</v>
      </c>
      <c r="K52" s="3">
        <v>1</v>
      </c>
      <c r="L52" s="4">
        <v>1.7E-34</v>
      </c>
      <c r="M52" s="4">
        <v>6.4999999999999999E-32</v>
      </c>
      <c r="N52" s="3">
        <v>111.2</v>
      </c>
      <c r="O52" s="3">
        <v>23.3</v>
      </c>
      <c r="P52" s="3">
        <v>130</v>
      </c>
      <c r="Q52" s="3">
        <v>427</v>
      </c>
      <c r="R52" s="3">
        <v>262</v>
      </c>
      <c r="S52" s="3">
        <v>544</v>
      </c>
      <c r="T52" s="3">
        <v>224</v>
      </c>
      <c r="U52" s="3">
        <v>548</v>
      </c>
      <c r="V52" s="3">
        <v>0.84</v>
      </c>
      <c r="W52" s="3" t="s">
        <v>110</v>
      </c>
    </row>
    <row r="53" spans="1:24" x14ac:dyDescent="0.3">
      <c r="A53" s="3" t="s">
        <v>111</v>
      </c>
      <c r="B53" s="3" t="s">
        <v>36</v>
      </c>
      <c r="C53" s="3">
        <v>3037</v>
      </c>
      <c r="D53" s="3" t="s">
        <v>37</v>
      </c>
      <c r="E53" s="3" t="s">
        <v>36</v>
      </c>
      <c r="F53" s="3">
        <v>457</v>
      </c>
      <c r="G53" s="4">
        <v>6.9999999999999997E-32</v>
      </c>
      <c r="H53" s="3">
        <v>111.1</v>
      </c>
      <c r="I53" s="3">
        <v>8.5</v>
      </c>
      <c r="J53" s="3">
        <v>1</v>
      </c>
      <c r="K53" s="3">
        <v>2</v>
      </c>
      <c r="L53" s="3">
        <v>0.18</v>
      </c>
      <c r="M53" s="3">
        <v>67</v>
      </c>
      <c r="N53" s="3">
        <v>2.4</v>
      </c>
      <c r="O53" s="3">
        <v>1.6</v>
      </c>
      <c r="P53" s="3">
        <v>42</v>
      </c>
      <c r="Q53" s="3">
        <v>116</v>
      </c>
      <c r="R53" s="3">
        <v>1807</v>
      </c>
      <c r="S53" s="3">
        <v>1879</v>
      </c>
      <c r="T53" s="3">
        <v>1781</v>
      </c>
      <c r="U53" s="3">
        <v>1914</v>
      </c>
      <c r="V53" s="3">
        <v>0.71</v>
      </c>
      <c r="W53" s="3" t="s">
        <v>112</v>
      </c>
      <c r="X53" t="s">
        <v>113</v>
      </c>
    </row>
    <row r="54" spans="1:24" x14ac:dyDescent="0.3">
      <c r="A54" s="3" t="s">
        <v>111</v>
      </c>
      <c r="B54" s="3" t="s">
        <v>36</v>
      </c>
      <c r="C54" s="3">
        <v>3037</v>
      </c>
      <c r="D54" s="3" t="s">
        <v>37</v>
      </c>
      <c r="E54" s="3" t="s">
        <v>36</v>
      </c>
      <c r="F54" s="3">
        <v>457</v>
      </c>
      <c r="G54" s="4">
        <v>6.9999999999999997E-32</v>
      </c>
      <c r="H54" s="3">
        <v>111.1</v>
      </c>
      <c r="I54" s="3">
        <v>8.5</v>
      </c>
      <c r="J54" s="3">
        <v>2</v>
      </c>
      <c r="K54" s="3">
        <v>2</v>
      </c>
      <c r="L54" s="4">
        <v>1.9000000000000001E-34</v>
      </c>
      <c r="M54" s="4">
        <v>6.9999999999999997E-32</v>
      </c>
      <c r="N54" s="3">
        <v>111.1</v>
      </c>
      <c r="O54" s="3">
        <v>8.5</v>
      </c>
      <c r="P54" s="3">
        <v>121</v>
      </c>
      <c r="Q54" s="3">
        <v>406</v>
      </c>
      <c r="R54" s="3">
        <v>2210</v>
      </c>
      <c r="S54" s="3">
        <v>2482</v>
      </c>
      <c r="T54" s="3">
        <v>2186</v>
      </c>
      <c r="U54" s="3">
        <v>2533</v>
      </c>
      <c r="V54" s="3">
        <v>0.79</v>
      </c>
      <c r="W54" s="3" t="s">
        <v>112</v>
      </c>
      <c r="X54" t="s">
        <v>113</v>
      </c>
    </row>
    <row r="55" spans="1:24" x14ac:dyDescent="0.3">
      <c r="A55" s="3" t="s">
        <v>114</v>
      </c>
      <c r="B55" s="3" t="s">
        <v>36</v>
      </c>
      <c r="C55" s="3">
        <v>643</v>
      </c>
      <c r="D55" s="3" t="s">
        <v>37</v>
      </c>
      <c r="E55" s="3" t="s">
        <v>36</v>
      </c>
      <c r="F55" s="3">
        <v>457</v>
      </c>
      <c r="G55" s="4">
        <v>5.1999999999999999E-31</v>
      </c>
      <c r="H55" s="3">
        <v>108.2</v>
      </c>
      <c r="I55" s="3">
        <v>28.7</v>
      </c>
      <c r="J55" s="3">
        <v>1</v>
      </c>
      <c r="K55" s="3">
        <v>1</v>
      </c>
      <c r="L55" s="4">
        <v>2.7000000000000001E-33</v>
      </c>
      <c r="M55" s="4">
        <v>1.0000000000000001E-30</v>
      </c>
      <c r="N55" s="3">
        <v>107.3</v>
      </c>
      <c r="O55" s="3">
        <v>28.7</v>
      </c>
      <c r="P55" s="3">
        <v>135</v>
      </c>
      <c r="Q55" s="3">
        <v>406</v>
      </c>
      <c r="R55" s="3">
        <v>374</v>
      </c>
      <c r="S55" s="3">
        <v>630</v>
      </c>
      <c r="T55" s="3">
        <v>332</v>
      </c>
      <c r="U55" s="3">
        <v>636</v>
      </c>
      <c r="V55" s="3">
        <v>0.84</v>
      </c>
      <c r="W55" s="3" t="s">
        <v>115</v>
      </c>
    </row>
    <row r="56" spans="1:24" x14ac:dyDescent="0.3">
      <c r="A56" s="3" t="s">
        <v>116</v>
      </c>
      <c r="B56" s="3" t="s">
        <v>36</v>
      </c>
      <c r="C56" s="3">
        <v>702</v>
      </c>
      <c r="D56" s="3" t="s">
        <v>37</v>
      </c>
      <c r="E56" s="3" t="s">
        <v>36</v>
      </c>
      <c r="F56" s="3">
        <v>457</v>
      </c>
      <c r="G56" s="4">
        <v>1.1999999999999999E-30</v>
      </c>
      <c r="H56" s="3">
        <v>107</v>
      </c>
      <c r="I56" s="3">
        <v>28.7</v>
      </c>
      <c r="J56" s="3">
        <v>1</v>
      </c>
      <c r="K56" s="3">
        <v>1</v>
      </c>
      <c r="L56" s="4">
        <v>3.3000000000000003E-33</v>
      </c>
      <c r="M56" s="4">
        <v>1.1999999999999999E-30</v>
      </c>
      <c r="N56" s="3">
        <v>107</v>
      </c>
      <c r="O56" s="3">
        <v>28.7</v>
      </c>
      <c r="P56" s="3">
        <v>135</v>
      </c>
      <c r="Q56" s="3">
        <v>406</v>
      </c>
      <c r="R56" s="3">
        <v>433</v>
      </c>
      <c r="S56" s="3">
        <v>689</v>
      </c>
      <c r="T56" s="3">
        <v>391</v>
      </c>
      <c r="U56" s="3">
        <v>695</v>
      </c>
      <c r="V56" s="3">
        <v>0.84</v>
      </c>
      <c r="W56" s="3" t="s">
        <v>117</v>
      </c>
    </row>
    <row r="57" spans="1:24" x14ac:dyDescent="0.3">
      <c r="A57" s="3" t="s">
        <v>118</v>
      </c>
      <c r="B57" s="3" t="s">
        <v>36</v>
      </c>
      <c r="C57" s="3">
        <v>97</v>
      </c>
      <c r="D57" s="3" t="s">
        <v>37</v>
      </c>
      <c r="E57" s="3" t="s">
        <v>36</v>
      </c>
      <c r="F57" s="3">
        <v>457</v>
      </c>
      <c r="G57" s="4">
        <v>9.3000000000000002E-29</v>
      </c>
      <c r="H57" s="3">
        <v>100.8</v>
      </c>
      <c r="I57" s="3">
        <v>0.2</v>
      </c>
      <c r="J57" s="3">
        <v>1</v>
      </c>
      <c r="K57" s="3">
        <v>1</v>
      </c>
      <c r="L57" s="4">
        <v>2.6E-31</v>
      </c>
      <c r="M57" s="4">
        <v>9.9000000000000003E-29</v>
      </c>
      <c r="N57" s="3">
        <v>100.7</v>
      </c>
      <c r="O57" s="3">
        <v>0.2</v>
      </c>
      <c r="P57" s="3">
        <v>334</v>
      </c>
      <c r="Q57" s="3">
        <v>414</v>
      </c>
      <c r="R57" s="3">
        <v>3</v>
      </c>
      <c r="S57" s="3">
        <v>80</v>
      </c>
      <c r="T57" s="3">
        <v>1</v>
      </c>
      <c r="U57" s="3">
        <v>93</v>
      </c>
      <c r="V57" s="3">
        <v>0.93</v>
      </c>
      <c r="W57" s="3" t="s">
        <v>72</v>
      </c>
    </row>
    <row r="58" spans="1:24" x14ac:dyDescent="0.3">
      <c r="A58" s="3" t="s">
        <v>119</v>
      </c>
      <c r="B58" s="3" t="s">
        <v>36</v>
      </c>
      <c r="C58" s="3">
        <v>3023</v>
      </c>
      <c r="D58" s="3" t="s">
        <v>37</v>
      </c>
      <c r="E58" s="3" t="s">
        <v>36</v>
      </c>
      <c r="F58" s="3">
        <v>457</v>
      </c>
      <c r="G58" s="4">
        <v>1.4E-27</v>
      </c>
      <c r="H58" s="3">
        <v>96.9</v>
      </c>
      <c r="I58" s="3">
        <v>7.5</v>
      </c>
      <c r="J58" s="3">
        <v>1</v>
      </c>
      <c r="K58" s="3">
        <v>2</v>
      </c>
      <c r="L58" s="3">
        <v>0.71</v>
      </c>
      <c r="M58" s="4">
        <v>270</v>
      </c>
      <c r="N58" s="3">
        <v>0.4</v>
      </c>
      <c r="O58" s="3">
        <v>2.7</v>
      </c>
      <c r="P58" s="3">
        <v>56</v>
      </c>
      <c r="Q58" s="3">
        <v>120</v>
      </c>
      <c r="R58" s="3">
        <v>2043</v>
      </c>
      <c r="S58" s="3">
        <v>2102</v>
      </c>
      <c r="T58" s="3">
        <v>2002</v>
      </c>
      <c r="U58" s="3">
        <v>2132</v>
      </c>
      <c r="V58" s="3">
        <v>0.72</v>
      </c>
      <c r="W58" s="3" t="s">
        <v>120</v>
      </c>
    </row>
    <row r="59" spans="1:24" x14ac:dyDescent="0.3">
      <c r="A59" s="3" t="s">
        <v>119</v>
      </c>
      <c r="B59" s="3" t="s">
        <v>36</v>
      </c>
      <c r="C59" s="3">
        <v>3023</v>
      </c>
      <c r="D59" s="3" t="s">
        <v>37</v>
      </c>
      <c r="E59" s="3" t="s">
        <v>36</v>
      </c>
      <c r="F59" s="3">
        <v>457</v>
      </c>
      <c r="G59" s="4">
        <v>1.4E-27</v>
      </c>
      <c r="H59" s="3">
        <v>96.9</v>
      </c>
      <c r="I59" s="3">
        <v>7.5</v>
      </c>
      <c r="J59" s="3">
        <v>2</v>
      </c>
      <c r="K59" s="3">
        <v>2</v>
      </c>
      <c r="L59" s="4">
        <v>3.7000000000000003E-30</v>
      </c>
      <c r="M59" s="4">
        <v>1.4E-27</v>
      </c>
      <c r="N59" s="3">
        <v>96.9</v>
      </c>
      <c r="O59" s="3">
        <v>7.5</v>
      </c>
      <c r="P59" s="3">
        <v>129</v>
      </c>
      <c r="Q59" s="3">
        <v>432</v>
      </c>
      <c r="R59" s="3">
        <v>2436</v>
      </c>
      <c r="S59" s="3">
        <v>2724</v>
      </c>
      <c r="T59" s="3">
        <v>2408</v>
      </c>
      <c r="U59" s="3">
        <v>2765</v>
      </c>
      <c r="V59" s="3">
        <v>0.84</v>
      </c>
      <c r="W59" s="3" t="s">
        <v>120</v>
      </c>
    </row>
    <row r="60" spans="1:24" x14ac:dyDescent="0.3">
      <c r="A60" s="3" t="s">
        <v>121</v>
      </c>
      <c r="B60" s="3" t="s">
        <v>36</v>
      </c>
      <c r="C60" s="3">
        <v>2810</v>
      </c>
      <c r="D60" s="3" t="s">
        <v>37</v>
      </c>
      <c r="E60" s="3" t="s">
        <v>36</v>
      </c>
      <c r="F60" s="3">
        <v>457</v>
      </c>
      <c r="G60" s="4">
        <v>1.6999999999999999E-27</v>
      </c>
      <c r="H60" s="3">
        <v>96.6</v>
      </c>
      <c r="I60" s="3">
        <v>12.6</v>
      </c>
      <c r="J60" s="3">
        <v>1</v>
      </c>
      <c r="K60" s="3">
        <v>2</v>
      </c>
      <c r="L60" s="3">
        <v>1.7999999999999999E-2</v>
      </c>
      <c r="M60" s="3">
        <v>6.7</v>
      </c>
      <c r="N60" s="3">
        <v>5.7</v>
      </c>
      <c r="O60" s="3">
        <v>3.7</v>
      </c>
      <c r="P60" s="3">
        <v>37</v>
      </c>
      <c r="Q60" s="3">
        <v>121</v>
      </c>
      <c r="R60" s="3">
        <v>1802</v>
      </c>
      <c r="S60" s="3">
        <v>1884</v>
      </c>
      <c r="T60" s="3">
        <v>1779</v>
      </c>
      <c r="U60" s="3">
        <v>1914</v>
      </c>
      <c r="V60" s="3">
        <v>0.75</v>
      </c>
      <c r="W60" s="3" t="s">
        <v>122</v>
      </c>
    </row>
    <row r="61" spans="1:24" x14ac:dyDescent="0.3">
      <c r="A61" s="3" t="s">
        <v>121</v>
      </c>
      <c r="B61" s="3" t="s">
        <v>36</v>
      </c>
      <c r="C61" s="3">
        <v>2810</v>
      </c>
      <c r="D61" s="3" t="s">
        <v>37</v>
      </c>
      <c r="E61" s="3" t="s">
        <v>36</v>
      </c>
      <c r="F61" s="3">
        <v>457</v>
      </c>
      <c r="G61" s="4">
        <v>1.6999999999999999E-27</v>
      </c>
      <c r="H61" s="3">
        <v>96.6</v>
      </c>
      <c r="I61" s="3">
        <v>12.6</v>
      </c>
      <c r="J61" s="3">
        <v>2</v>
      </c>
      <c r="K61" s="3">
        <v>2</v>
      </c>
      <c r="L61" s="4">
        <v>4.5999999999999997E-30</v>
      </c>
      <c r="M61" s="4">
        <v>1.6999999999999999E-27</v>
      </c>
      <c r="N61" s="3">
        <v>96.6</v>
      </c>
      <c r="O61" s="3">
        <v>12.6</v>
      </c>
      <c r="P61" s="3">
        <v>122</v>
      </c>
      <c r="Q61" s="3">
        <v>419</v>
      </c>
      <c r="R61" s="3">
        <v>2204</v>
      </c>
      <c r="S61" s="3">
        <v>2486</v>
      </c>
      <c r="T61" s="3">
        <v>2183</v>
      </c>
      <c r="U61" s="3">
        <v>2534</v>
      </c>
      <c r="V61" s="3">
        <v>0.83</v>
      </c>
      <c r="W61" s="3" t="s">
        <v>122</v>
      </c>
    </row>
    <row r="62" spans="1:24" x14ac:dyDescent="0.3">
      <c r="A62" s="3" t="s">
        <v>123</v>
      </c>
      <c r="B62" s="3" t="s">
        <v>36</v>
      </c>
      <c r="C62" s="3">
        <v>600</v>
      </c>
      <c r="D62" s="3" t="s">
        <v>37</v>
      </c>
      <c r="E62" s="3" t="s">
        <v>36</v>
      </c>
      <c r="F62" s="3">
        <v>457</v>
      </c>
      <c r="G62" s="4">
        <v>1E-25</v>
      </c>
      <c r="H62" s="3">
        <v>90.7</v>
      </c>
      <c r="I62" s="3">
        <v>19.100000000000001</v>
      </c>
      <c r="J62" s="3">
        <v>1</v>
      </c>
      <c r="K62" s="3">
        <v>1</v>
      </c>
      <c r="L62" s="4">
        <v>4.5999999999999997E-28</v>
      </c>
      <c r="M62" s="4">
        <v>1.7E-25</v>
      </c>
      <c r="N62" s="3">
        <v>90</v>
      </c>
      <c r="O62" s="3">
        <v>19.100000000000001</v>
      </c>
      <c r="P62" s="3">
        <v>115</v>
      </c>
      <c r="Q62" s="3">
        <v>443</v>
      </c>
      <c r="R62" s="3">
        <v>213</v>
      </c>
      <c r="S62" s="3">
        <v>548</v>
      </c>
      <c r="T62" s="3">
        <v>196</v>
      </c>
      <c r="U62" s="3">
        <v>582</v>
      </c>
      <c r="V62" s="3">
        <v>0.77</v>
      </c>
      <c r="W62" s="3" t="s">
        <v>124</v>
      </c>
    </row>
    <row r="63" spans="1:24" x14ac:dyDescent="0.3">
      <c r="A63" s="3" t="s">
        <v>125</v>
      </c>
      <c r="B63" s="3" t="s">
        <v>36</v>
      </c>
      <c r="C63" s="3">
        <v>988</v>
      </c>
      <c r="D63" s="3" t="s">
        <v>37</v>
      </c>
      <c r="E63" s="3" t="s">
        <v>36</v>
      </c>
      <c r="F63" s="3">
        <v>457</v>
      </c>
      <c r="G63" s="4">
        <v>1.1000000000000001E-25</v>
      </c>
      <c r="H63" s="3">
        <v>90.6</v>
      </c>
      <c r="I63" s="3">
        <v>10.6</v>
      </c>
      <c r="J63" s="3">
        <v>1</v>
      </c>
      <c r="K63" s="3">
        <v>2</v>
      </c>
      <c r="L63" s="3">
        <v>1.4</v>
      </c>
      <c r="M63" s="4">
        <v>530</v>
      </c>
      <c r="N63" s="3">
        <v>-0.6</v>
      </c>
      <c r="O63" s="3">
        <v>0.1</v>
      </c>
      <c r="P63" s="3">
        <v>74</v>
      </c>
      <c r="Q63" s="3">
        <v>110</v>
      </c>
      <c r="R63" s="3">
        <v>344</v>
      </c>
      <c r="S63" s="3">
        <v>375</v>
      </c>
      <c r="T63" s="3">
        <v>332</v>
      </c>
      <c r="U63" s="3">
        <v>431</v>
      </c>
      <c r="V63" s="3">
        <v>0.76</v>
      </c>
      <c r="W63" s="3" t="s">
        <v>126</v>
      </c>
      <c r="X63" t="s">
        <v>41</v>
      </c>
    </row>
    <row r="64" spans="1:24" x14ac:dyDescent="0.3">
      <c r="A64" s="3" t="s">
        <v>125</v>
      </c>
      <c r="B64" s="3" t="s">
        <v>36</v>
      </c>
      <c r="C64" s="3">
        <v>988</v>
      </c>
      <c r="D64" s="3" t="s">
        <v>37</v>
      </c>
      <c r="E64" s="3" t="s">
        <v>36</v>
      </c>
      <c r="F64" s="3">
        <v>457</v>
      </c>
      <c r="G64" s="4">
        <v>1.1000000000000001E-25</v>
      </c>
      <c r="H64" s="3">
        <v>90.6</v>
      </c>
      <c r="I64" s="3">
        <v>10.6</v>
      </c>
      <c r="J64" s="3">
        <v>2</v>
      </c>
      <c r="K64" s="3">
        <v>2</v>
      </c>
      <c r="L64" s="4">
        <v>3E-28</v>
      </c>
      <c r="M64" s="4">
        <v>1.1000000000000001E-25</v>
      </c>
      <c r="N64" s="3">
        <v>90.6</v>
      </c>
      <c r="O64" s="3">
        <v>10.6</v>
      </c>
      <c r="P64" s="3">
        <v>103</v>
      </c>
      <c r="Q64" s="3">
        <v>423</v>
      </c>
      <c r="R64" s="3">
        <v>622</v>
      </c>
      <c r="S64" s="3">
        <v>948</v>
      </c>
      <c r="T64" s="3">
        <v>620</v>
      </c>
      <c r="U64" s="3">
        <v>976</v>
      </c>
      <c r="V64" s="3">
        <v>0.79</v>
      </c>
      <c r="W64" s="3" t="s">
        <v>126</v>
      </c>
      <c r="X64" t="s">
        <v>41</v>
      </c>
    </row>
    <row r="65" spans="1:24" x14ac:dyDescent="0.3">
      <c r="A65" s="3" t="s">
        <v>127</v>
      </c>
      <c r="B65" s="3" t="s">
        <v>36</v>
      </c>
      <c r="C65" s="3">
        <v>1487</v>
      </c>
      <c r="D65" s="3" t="s">
        <v>37</v>
      </c>
      <c r="E65" s="3" t="s">
        <v>36</v>
      </c>
      <c r="F65" s="3">
        <v>457</v>
      </c>
      <c r="G65" s="4">
        <v>3.1E-24</v>
      </c>
      <c r="H65" s="3">
        <v>85.9</v>
      </c>
      <c r="I65" s="3">
        <v>19.8</v>
      </c>
      <c r="J65" s="3">
        <v>1</v>
      </c>
      <c r="K65" s="3">
        <v>1</v>
      </c>
      <c r="L65" s="4">
        <v>1.8000000000000001E-26</v>
      </c>
      <c r="M65" s="4">
        <v>6.7999999999999998E-24</v>
      </c>
      <c r="N65" s="3">
        <v>84.8</v>
      </c>
      <c r="O65" s="3">
        <v>19.8</v>
      </c>
      <c r="P65" s="3">
        <v>137</v>
      </c>
      <c r="Q65" s="3">
        <v>449</v>
      </c>
      <c r="R65" s="3">
        <v>1095</v>
      </c>
      <c r="S65" s="3">
        <v>1408</v>
      </c>
      <c r="T65" s="3">
        <v>1062</v>
      </c>
      <c r="U65" s="3">
        <v>1439</v>
      </c>
      <c r="V65" s="3">
        <v>0.77</v>
      </c>
      <c r="W65" s="3" t="s">
        <v>128</v>
      </c>
    </row>
    <row r="66" spans="1:24" x14ac:dyDescent="0.3">
      <c r="A66" s="3" t="s">
        <v>129</v>
      </c>
      <c r="B66" s="3" t="s">
        <v>36</v>
      </c>
      <c r="C66" s="3">
        <v>680</v>
      </c>
      <c r="D66" s="3" t="s">
        <v>37</v>
      </c>
      <c r="E66" s="3" t="s">
        <v>36</v>
      </c>
      <c r="F66" s="3">
        <v>457</v>
      </c>
      <c r="G66" s="4">
        <v>7.8E-24</v>
      </c>
      <c r="H66" s="3">
        <v>84.6</v>
      </c>
      <c r="I66" s="3">
        <v>7</v>
      </c>
      <c r="J66" s="3">
        <v>1</v>
      </c>
      <c r="K66" s="3">
        <v>1</v>
      </c>
      <c r="L66" s="4">
        <v>3.2999999999999998E-26</v>
      </c>
      <c r="M66" s="4">
        <v>1.2E-23</v>
      </c>
      <c r="N66" s="3">
        <v>83.9</v>
      </c>
      <c r="O66" s="3">
        <v>7</v>
      </c>
      <c r="P66" s="3">
        <v>144</v>
      </c>
      <c r="Q66" s="3">
        <v>415</v>
      </c>
      <c r="R66" s="3">
        <v>10</v>
      </c>
      <c r="S66" s="3">
        <v>266</v>
      </c>
      <c r="T66" s="3">
        <v>2</v>
      </c>
      <c r="U66" s="3">
        <v>324</v>
      </c>
      <c r="V66" s="3">
        <v>0.83</v>
      </c>
      <c r="W66" s="3" t="s">
        <v>130</v>
      </c>
      <c r="X66" t="s">
        <v>131</v>
      </c>
    </row>
    <row r="67" spans="1:24" x14ac:dyDescent="0.3">
      <c r="A67" s="3" t="s">
        <v>132</v>
      </c>
      <c r="B67" s="3" t="s">
        <v>36</v>
      </c>
      <c r="C67" s="3">
        <v>685</v>
      </c>
      <c r="D67" s="3" t="s">
        <v>37</v>
      </c>
      <c r="E67" s="3" t="s">
        <v>36</v>
      </c>
      <c r="F67" s="3">
        <v>457</v>
      </c>
      <c r="G67" s="4">
        <v>1.2E-23</v>
      </c>
      <c r="H67" s="3">
        <v>83.9</v>
      </c>
      <c r="I67" s="3">
        <v>7.6</v>
      </c>
      <c r="J67" s="3">
        <v>1</v>
      </c>
      <c r="K67" s="3">
        <v>1</v>
      </c>
      <c r="L67" s="4">
        <v>5.2999999999999999E-26</v>
      </c>
      <c r="M67" s="4">
        <v>1.9999999999999999E-23</v>
      </c>
      <c r="N67" s="3">
        <v>83.2</v>
      </c>
      <c r="O67" s="3">
        <v>7.6</v>
      </c>
      <c r="P67" s="3">
        <v>144</v>
      </c>
      <c r="Q67" s="3">
        <v>415</v>
      </c>
      <c r="R67" s="3">
        <v>10</v>
      </c>
      <c r="S67" s="3">
        <v>266</v>
      </c>
      <c r="T67" s="3">
        <v>2</v>
      </c>
      <c r="U67" s="3">
        <v>318</v>
      </c>
      <c r="V67" s="3">
        <v>0.83</v>
      </c>
      <c r="W67" s="3" t="s">
        <v>133</v>
      </c>
      <c r="X67" t="s">
        <v>131</v>
      </c>
    </row>
    <row r="68" spans="1:24" x14ac:dyDescent="0.3">
      <c r="A68" s="3" t="s">
        <v>134</v>
      </c>
      <c r="B68" s="3" t="s">
        <v>36</v>
      </c>
      <c r="C68" s="3">
        <v>674</v>
      </c>
      <c r="D68" s="3" t="s">
        <v>37</v>
      </c>
      <c r="E68" s="3" t="s">
        <v>36</v>
      </c>
      <c r="F68" s="3">
        <v>457</v>
      </c>
      <c r="G68" s="4">
        <v>1.3999999999999999E-23</v>
      </c>
      <c r="H68" s="3">
        <v>83.7</v>
      </c>
      <c r="I68" s="3">
        <v>7.9</v>
      </c>
      <c r="J68" s="3">
        <v>1</v>
      </c>
      <c r="K68" s="3">
        <v>1</v>
      </c>
      <c r="L68" s="4">
        <v>6.0000000000000002E-26</v>
      </c>
      <c r="M68" s="4">
        <v>2.1999999999999999E-23</v>
      </c>
      <c r="N68" s="3">
        <v>83.1</v>
      </c>
      <c r="O68" s="3">
        <v>7.9</v>
      </c>
      <c r="P68" s="3">
        <v>144</v>
      </c>
      <c r="Q68" s="3">
        <v>415</v>
      </c>
      <c r="R68" s="3">
        <v>10</v>
      </c>
      <c r="S68" s="3">
        <v>266</v>
      </c>
      <c r="T68" s="3">
        <v>2</v>
      </c>
      <c r="U68" s="3">
        <v>319</v>
      </c>
      <c r="V68" s="3">
        <v>0.83</v>
      </c>
      <c r="W68" s="3" t="s">
        <v>135</v>
      </c>
      <c r="X68" t="s">
        <v>131</v>
      </c>
    </row>
    <row r="69" spans="1:24" x14ac:dyDescent="0.3">
      <c r="A69" s="3" t="s">
        <v>136</v>
      </c>
      <c r="B69" s="3" t="s">
        <v>36</v>
      </c>
      <c r="C69" s="3">
        <v>1448</v>
      </c>
      <c r="D69" s="3" t="s">
        <v>37</v>
      </c>
      <c r="E69" s="3" t="s">
        <v>36</v>
      </c>
      <c r="F69" s="3">
        <v>457</v>
      </c>
      <c r="G69" s="4">
        <v>7.8E-23</v>
      </c>
      <c r="H69" s="3">
        <v>81.3</v>
      </c>
      <c r="I69" s="3">
        <v>8.8000000000000007</v>
      </c>
      <c r="J69" s="3">
        <v>1</v>
      </c>
      <c r="K69" s="3">
        <v>2</v>
      </c>
      <c r="L69" s="3">
        <v>1.0999999999999999E-2</v>
      </c>
      <c r="M69" s="3">
        <v>4.3</v>
      </c>
      <c r="N69" s="3">
        <v>6.3</v>
      </c>
      <c r="O69" s="3">
        <v>0.5</v>
      </c>
      <c r="P69" s="3">
        <v>44</v>
      </c>
      <c r="Q69" s="3">
        <v>87</v>
      </c>
      <c r="R69" s="3">
        <v>444</v>
      </c>
      <c r="S69" s="3">
        <v>483</v>
      </c>
      <c r="T69" s="3">
        <v>430</v>
      </c>
      <c r="U69" s="3">
        <v>542</v>
      </c>
      <c r="V69" s="3">
        <v>0.77</v>
      </c>
      <c r="W69" s="3" t="s">
        <v>137</v>
      </c>
    </row>
    <row r="70" spans="1:24" x14ac:dyDescent="0.3">
      <c r="A70" s="3" t="s">
        <v>136</v>
      </c>
      <c r="B70" s="3" t="s">
        <v>36</v>
      </c>
      <c r="C70" s="3">
        <v>1448</v>
      </c>
      <c r="D70" s="3" t="s">
        <v>37</v>
      </c>
      <c r="E70" s="3" t="s">
        <v>36</v>
      </c>
      <c r="F70" s="3">
        <v>457</v>
      </c>
      <c r="G70" s="4">
        <v>7.8E-23</v>
      </c>
      <c r="H70" s="3">
        <v>81.3</v>
      </c>
      <c r="I70" s="3">
        <v>8.8000000000000007</v>
      </c>
      <c r="J70" s="3">
        <v>2</v>
      </c>
      <c r="K70" s="3">
        <v>2</v>
      </c>
      <c r="L70" s="4">
        <v>2.1E-25</v>
      </c>
      <c r="M70" s="4">
        <v>7.8E-23</v>
      </c>
      <c r="N70" s="3">
        <v>81.3</v>
      </c>
      <c r="O70" s="3">
        <v>8.8000000000000007</v>
      </c>
      <c r="P70" s="3">
        <v>136</v>
      </c>
      <c r="Q70" s="3">
        <v>416</v>
      </c>
      <c r="R70" s="3">
        <v>812</v>
      </c>
      <c r="S70" s="3">
        <v>1077</v>
      </c>
      <c r="T70" s="3">
        <v>781</v>
      </c>
      <c r="U70" s="3">
        <v>1113</v>
      </c>
      <c r="V70" s="3">
        <v>0.81</v>
      </c>
      <c r="W70" s="3" t="s">
        <v>137</v>
      </c>
    </row>
    <row r="71" spans="1:24" x14ac:dyDescent="0.3">
      <c r="A71" s="3" t="s">
        <v>138</v>
      </c>
      <c r="B71" s="3" t="s">
        <v>36</v>
      </c>
      <c r="C71" s="3">
        <v>1215</v>
      </c>
      <c r="D71" s="3" t="s">
        <v>37</v>
      </c>
      <c r="E71" s="3" t="s">
        <v>36</v>
      </c>
      <c r="F71" s="3">
        <v>457</v>
      </c>
      <c r="G71" s="4">
        <v>1.7999999999999999E-22</v>
      </c>
      <c r="H71" s="3">
        <v>80</v>
      </c>
      <c r="I71" s="3">
        <v>14.8</v>
      </c>
      <c r="J71" s="3">
        <v>1</v>
      </c>
      <c r="K71" s="3">
        <v>1</v>
      </c>
      <c r="L71" s="4">
        <v>9.0000000000000002E-25</v>
      </c>
      <c r="M71" s="4">
        <v>3.3999999999999998E-22</v>
      </c>
      <c r="N71" s="3">
        <v>79.2</v>
      </c>
      <c r="O71" s="3">
        <v>14.8</v>
      </c>
      <c r="P71" s="3">
        <v>132</v>
      </c>
      <c r="Q71" s="3">
        <v>441</v>
      </c>
      <c r="R71" s="3">
        <v>821</v>
      </c>
      <c r="S71" s="3">
        <v>1132</v>
      </c>
      <c r="T71" s="3">
        <v>784</v>
      </c>
      <c r="U71" s="3">
        <v>1160</v>
      </c>
      <c r="V71" s="3">
        <v>0.79</v>
      </c>
      <c r="W71" s="3" t="s">
        <v>128</v>
      </c>
    </row>
    <row r="72" spans="1:24" x14ac:dyDescent="0.3">
      <c r="A72" s="3" t="s">
        <v>139</v>
      </c>
      <c r="B72" s="3" t="s">
        <v>36</v>
      </c>
      <c r="C72" s="3">
        <v>1518</v>
      </c>
      <c r="D72" s="3" t="s">
        <v>37</v>
      </c>
      <c r="E72" s="3" t="s">
        <v>36</v>
      </c>
      <c r="F72" s="3">
        <v>457</v>
      </c>
      <c r="G72" s="4">
        <v>2.6E-22</v>
      </c>
      <c r="H72" s="3">
        <v>79.599999999999994</v>
      </c>
      <c r="I72" s="3">
        <v>9.6999999999999993</v>
      </c>
      <c r="J72" s="3">
        <v>1</v>
      </c>
      <c r="K72" s="3">
        <v>2</v>
      </c>
      <c r="L72" s="3">
        <v>0.3</v>
      </c>
      <c r="M72" s="4">
        <v>110</v>
      </c>
      <c r="N72" s="3">
        <v>1.6</v>
      </c>
      <c r="O72" s="3">
        <v>6.6</v>
      </c>
      <c r="P72" s="3">
        <v>44</v>
      </c>
      <c r="Q72" s="3">
        <v>103</v>
      </c>
      <c r="R72" s="3">
        <v>479</v>
      </c>
      <c r="S72" s="3">
        <v>529</v>
      </c>
      <c r="T72" s="3">
        <v>422</v>
      </c>
      <c r="U72" s="3">
        <v>565</v>
      </c>
      <c r="V72" s="3">
        <v>0.83</v>
      </c>
      <c r="W72" s="3" t="s">
        <v>140</v>
      </c>
    </row>
    <row r="73" spans="1:24" x14ac:dyDescent="0.3">
      <c r="A73" s="3" t="s">
        <v>139</v>
      </c>
      <c r="B73" s="3" t="s">
        <v>36</v>
      </c>
      <c r="C73" s="3">
        <v>1518</v>
      </c>
      <c r="D73" s="3" t="s">
        <v>37</v>
      </c>
      <c r="E73" s="3" t="s">
        <v>36</v>
      </c>
      <c r="F73" s="3">
        <v>457</v>
      </c>
      <c r="G73" s="4">
        <v>2.6E-22</v>
      </c>
      <c r="H73" s="3">
        <v>79.599999999999994</v>
      </c>
      <c r="I73" s="3">
        <v>9.6999999999999993</v>
      </c>
      <c r="J73" s="3">
        <v>2</v>
      </c>
      <c r="K73" s="3">
        <v>2</v>
      </c>
      <c r="L73" s="4">
        <v>6.8E-25</v>
      </c>
      <c r="M73" s="4">
        <v>2.6E-22</v>
      </c>
      <c r="N73" s="3">
        <v>79.599999999999994</v>
      </c>
      <c r="O73" s="3">
        <v>9.6999999999999993</v>
      </c>
      <c r="P73" s="3">
        <v>102</v>
      </c>
      <c r="Q73" s="3">
        <v>424</v>
      </c>
      <c r="R73" s="3">
        <v>806</v>
      </c>
      <c r="S73" s="3">
        <v>1154</v>
      </c>
      <c r="T73" s="3">
        <v>799</v>
      </c>
      <c r="U73" s="3">
        <v>1181</v>
      </c>
      <c r="V73" s="3">
        <v>0.83</v>
      </c>
      <c r="W73" s="3" t="s">
        <v>140</v>
      </c>
    </row>
    <row r="74" spans="1:24" x14ac:dyDescent="0.3">
      <c r="A74" s="3" t="s">
        <v>141</v>
      </c>
      <c r="B74" s="3" t="s">
        <v>36</v>
      </c>
      <c r="C74" s="3">
        <v>660</v>
      </c>
      <c r="D74" s="3" t="s">
        <v>37</v>
      </c>
      <c r="E74" s="3" t="s">
        <v>36</v>
      </c>
      <c r="F74" s="3">
        <v>457</v>
      </c>
      <c r="G74" s="4">
        <v>4.9999999999999995E-22</v>
      </c>
      <c r="H74" s="3">
        <v>78.599999999999994</v>
      </c>
      <c r="I74" s="3">
        <v>14.5</v>
      </c>
      <c r="J74" s="3">
        <v>1</v>
      </c>
      <c r="K74" s="3">
        <v>1</v>
      </c>
      <c r="L74" s="4">
        <v>2.7000000000000001E-24</v>
      </c>
      <c r="M74" s="4">
        <v>9.9999999999999991E-22</v>
      </c>
      <c r="N74" s="3">
        <v>77.599999999999994</v>
      </c>
      <c r="O74" s="3">
        <v>14.5</v>
      </c>
      <c r="P74" s="3">
        <v>130</v>
      </c>
      <c r="Q74" s="3">
        <v>416</v>
      </c>
      <c r="R74" s="3">
        <v>366</v>
      </c>
      <c r="S74" s="3">
        <v>641</v>
      </c>
      <c r="T74" s="3">
        <v>325</v>
      </c>
      <c r="U74" s="3">
        <v>650</v>
      </c>
      <c r="V74" s="3">
        <v>0.81</v>
      </c>
      <c r="W74" s="3" t="s">
        <v>142</v>
      </c>
    </row>
    <row r="75" spans="1:24" x14ac:dyDescent="0.3">
      <c r="A75" s="3" t="s">
        <v>143</v>
      </c>
      <c r="B75" s="3" t="s">
        <v>36</v>
      </c>
      <c r="C75" s="3">
        <v>385</v>
      </c>
      <c r="D75" s="3" t="s">
        <v>37</v>
      </c>
      <c r="E75" s="3" t="s">
        <v>36</v>
      </c>
      <c r="F75" s="3">
        <v>457</v>
      </c>
      <c r="G75" s="4">
        <v>6.7999999999999997E-22</v>
      </c>
      <c r="H75" s="3">
        <v>78.2</v>
      </c>
      <c r="I75" s="3">
        <v>15.9</v>
      </c>
      <c r="J75" s="3">
        <v>1</v>
      </c>
      <c r="K75" s="3">
        <v>1</v>
      </c>
      <c r="L75" s="4">
        <v>3.1E-24</v>
      </c>
      <c r="M75" s="4">
        <v>1.2E-21</v>
      </c>
      <c r="N75" s="3">
        <v>77.400000000000006</v>
      </c>
      <c r="O75" s="3">
        <v>15.8</v>
      </c>
      <c r="P75" s="3">
        <v>130</v>
      </c>
      <c r="Q75" s="3">
        <v>420</v>
      </c>
      <c r="R75" s="3">
        <v>80</v>
      </c>
      <c r="S75" s="3">
        <v>359</v>
      </c>
      <c r="T75" s="3">
        <v>41</v>
      </c>
      <c r="U75" s="3">
        <v>385</v>
      </c>
      <c r="V75" s="3">
        <v>0.79</v>
      </c>
      <c r="W75" s="3" t="s">
        <v>144</v>
      </c>
    </row>
    <row r="76" spans="1:24" x14ac:dyDescent="0.3">
      <c r="A76" s="3" t="s">
        <v>145</v>
      </c>
      <c r="B76" s="3" t="s">
        <v>36</v>
      </c>
      <c r="C76" s="3">
        <v>532</v>
      </c>
      <c r="D76" s="3" t="s">
        <v>37</v>
      </c>
      <c r="E76" s="3" t="s">
        <v>36</v>
      </c>
      <c r="F76" s="3">
        <v>457</v>
      </c>
      <c r="G76" s="4">
        <v>2.1999999999999999E-20</v>
      </c>
      <c r="H76" s="3">
        <v>73.2</v>
      </c>
      <c r="I76" s="3">
        <v>18.3</v>
      </c>
      <c r="J76" s="3">
        <v>1</v>
      </c>
      <c r="K76" s="3">
        <v>1</v>
      </c>
      <c r="L76" s="4">
        <v>1.1E-22</v>
      </c>
      <c r="M76" s="4">
        <v>3.9999999999999998E-20</v>
      </c>
      <c r="N76" s="3">
        <v>72.3</v>
      </c>
      <c r="O76" s="3">
        <v>18.3</v>
      </c>
      <c r="P76" s="3">
        <v>130</v>
      </c>
      <c r="Q76" s="3">
        <v>416</v>
      </c>
      <c r="R76" s="3">
        <v>241</v>
      </c>
      <c r="S76" s="3">
        <v>516</v>
      </c>
      <c r="T76" s="3">
        <v>198</v>
      </c>
      <c r="U76" s="3">
        <v>522</v>
      </c>
      <c r="V76" s="3">
        <v>0.8</v>
      </c>
      <c r="W76" s="3" t="s">
        <v>146</v>
      </c>
    </row>
    <row r="77" spans="1:24" x14ac:dyDescent="0.3">
      <c r="A77" s="3" t="s">
        <v>147</v>
      </c>
      <c r="B77" s="3" t="s">
        <v>36</v>
      </c>
      <c r="C77" s="3">
        <v>381</v>
      </c>
      <c r="D77" s="3" t="s">
        <v>37</v>
      </c>
      <c r="E77" s="3" t="s">
        <v>36</v>
      </c>
      <c r="F77" s="3">
        <v>457</v>
      </c>
      <c r="G77" s="4">
        <v>9.4000000000000003E-20</v>
      </c>
      <c r="H77" s="3">
        <v>71.099999999999994</v>
      </c>
      <c r="I77" s="3">
        <v>19.100000000000001</v>
      </c>
      <c r="J77" s="3">
        <v>1</v>
      </c>
      <c r="K77" s="3">
        <v>1</v>
      </c>
      <c r="L77" s="4">
        <v>3.5999999999999998E-22</v>
      </c>
      <c r="M77" s="4">
        <v>1.3000000000000001E-19</v>
      </c>
      <c r="N77" s="3">
        <v>70.599999999999994</v>
      </c>
      <c r="O77" s="3">
        <v>19.100000000000001</v>
      </c>
      <c r="P77" s="3">
        <v>134</v>
      </c>
      <c r="Q77" s="3">
        <v>416</v>
      </c>
      <c r="R77" s="3">
        <v>90</v>
      </c>
      <c r="S77" s="3">
        <v>369</v>
      </c>
      <c r="T77" s="3">
        <v>61</v>
      </c>
      <c r="U77" s="3">
        <v>381</v>
      </c>
      <c r="V77" s="3">
        <v>0.79</v>
      </c>
      <c r="W77" s="3" t="s">
        <v>148</v>
      </c>
    </row>
    <row r="78" spans="1:24" x14ac:dyDescent="0.3">
      <c r="A78" s="3" t="s">
        <v>149</v>
      </c>
      <c r="B78" s="3" t="s">
        <v>36</v>
      </c>
      <c r="C78" s="3">
        <v>548</v>
      </c>
      <c r="D78" s="3" t="s">
        <v>37</v>
      </c>
      <c r="E78" s="3" t="s">
        <v>36</v>
      </c>
      <c r="F78" s="3">
        <v>457</v>
      </c>
      <c r="G78" s="4">
        <v>1.3000000000000001E-19</v>
      </c>
      <c r="H78" s="3">
        <v>70.599999999999994</v>
      </c>
      <c r="I78" s="3">
        <v>15.5</v>
      </c>
      <c r="J78" s="3">
        <v>1</v>
      </c>
      <c r="K78" s="3">
        <v>1</v>
      </c>
      <c r="L78" s="4">
        <v>7.6000000000000005E-22</v>
      </c>
      <c r="M78" s="4">
        <v>2.9E-19</v>
      </c>
      <c r="N78" s="3">
        <v>69.5</v>
      </c>
      <c r="O78" s="3">
        <v>15.5</v>
      </c>
      <c r="P78" s="3">
        <v>140</v>
      </c>
      <c r="Q78" s="3">
        <v>438</v>
      </c>
      <c r="R78" s="3">
        <v>245</v>
      </c>
      <c r="S78" s="3">
        <v>537</v>
      </c>
      <c r="T78" s="3">
        <v>217</v>
      </c>
      <c r="U78" s="3">
        <v>546</v>
      </c>
      <c r="V78" s="3">
        <v>0.76</v>
      </c>
      <c r="W78" s="3" t="s">
        <v>146</v>
      </c>
    </row>
    <row r="79" spans="1:24" x14ac:dyDescent="0.3">
      <c r="A79" s="3" t="s">
        <v>150</v>
      </c>
      <c r="B79" s="3" t="s">
        <v>36</v>
      </c>
      <c r="C79" s="3">
        <v>696</v>
      </c>
      <c r="D79" s="3" t="s">
        <v>37</v>
      </c>
      <c r="E79" s="3" t="s">
        <v>36</v>
      </c>
      <c r="F79" s="3">
        <v>457</v>
      </c>
      <c r="G79" s="4">
        <v>1.0000000000000001E-18</v>
      </c>
      <c r="H79" s="3">
        <v>67.7</v>
      </c>
      <c r="I79" s="3">
        <v>24.7</v>
      </c>
      <c r="J79" s="3">
        <v>1</v>
      </c>
      <c r="K79" s="3">
        <v>1</v>
      </c>
      <c r="L79" s="4">
        <v>4.2999999999999998E-21</v>
      </c>
      <c r="M79" s="4">
        <v>1.6E-18</v>
      </c>
      <c r="N79" s="3">
        <v>67</v>
      </c>
      <c r="O79" s="3">
        <v>24.7</v>
      </c>
      <c r="P79" s="3">
        <v>103</v>
      </c>
      <c r="Q79" s="3">
        <v>396</v>
      </c>
      <c r="R79" s="3">
        <v>385</v>
      </c>
      <c r="S79" s="3">
        <v>681</v>
      </c>
      <c r="T79" s="3">
        <v>382</v>
      </c>
      <c r="U79" s="3">
        <v>692</v>
      </c>
      <c r="V79" s="3">
        <v>0.78</v>
      </c>
      <c r="W79" s="3" t="s">
        <v>151</v>
      </c>
    </row>
    <row r="80" spans="1:24" x14ac:dyDescent="0.3">
      <c r="A80" s="3" t="s">
        <v>152</v>
      </c>
      <c r="B80" s="3" t="s">
        <v>36</v>
      </c>
      <c r="C80" s="3">
        <v>470</v>
      </c>
      <c r="D80" s="3" t="s">
        <v>37</v>
      </c>
      <c r="E80" s="3" t="s">
        <v>36</v>
      </c>
      <c r="F80" s="3">
        <v>457</v>
      </c>
      <c r="G80" s="4">
        <v>1.9000000000000001E-17</v>
      </c>
      <c r="H80" s="3">
        <v>63.5</v>
      </c>
      <c r="I80" s="3">
        <v>13.1</v>
      </c>
      <c r="J80" s="3">
        <v>1</v>
      </c>
      <c r="K80" s="3">
        <v>1</v>
      </c>
      <c r="L80" s="4">
        <v>6.3999999999999994E-20</v>
      </c>
      <c r="M80" s="4">
        <v>2.3999999999999999E-17</v>
      </c>
      <c r="N80" s="3">
        <v>63.2</v>
      </c>
      <c r="O80" s="3">
        <v>13.1</v>
      </c>
      <c r="P80" s="3">
        <v>132</v>
      </c>
      <c r="Q80" s="3">
        <v>393</v>
      </c>
      <c r="R80" s="3">
        <v>116</v>
      </c>
      <c r="S80" s="3">
        <v>404</v>
      </c>
      <c r="T80" s="3">
        <v>85</v>
      </c>
      <c r="U80" s="3">
        <v>455</v>
      </c>
      <c r="V80" s="3">
        <v>0.81</v>
      </c>
      <c r="W80" s="3" t="s">
        <v>153</v>
      </c>
    </row>
    <row r="81" spans="1:24" x14ac:dyDescent="0.3">
      <c r="A81" s="3" t="s">
        <v>154</v>
      </c>
      <c r="B81" s="3" t="s">
        <v>36</v>
      </c>
      <c r="C81" s="3">
        <v>314</v>
      </c>
      <c r="D81" s="3" t="s">
        <v>37</v>
      </c>
      <c r="E81" s="3" t="s">
        <v>36</v>
      </c>
      <c r="F81" s="3">
        <v>457</v>
      </c>
      <c r="G81" s="4">
        <v>1.0000000000000001E-15</v>
      </c>
      <c r="H81" s="3">
        <v>57.8</v>
      </c>
      <c r="I81" s="3">
        <v>19.7</v>
      </c>
      <c r="J81" s="3">
        <v>1</v>
      </c>
      <c r="K81" s="3">
        <v>1</v>
      </c>
      <c r="L81" s="4">
        <v>3.9E-18</v>
      </c>
      <c r="M81" s="4">
        <v>1.4000000000000001E-15</v>
      </c>
      <c r="N81" s="3">
        <v>57.3</v>
      </c>
      <c r="O81" s="3">
        <v>19.7</v>
      </c>
      <c r="P81" s="3">
        <v>138</v>
      </c>
      <c r="Q81" s="3">
        <v>385</v>
      </c>
      <c r="R81" s="3">
        <v>66</v>
      </c>
      <c r="S81" s="3">
        <v>312</v>
      </c>
      <c r="T81" s="3">
        <v>21</v>
      </c>
      <c r="U81" s="3">
        <v>313</v>
      </c>
      <c r="V81" s="3">
        <v>0.74</v>
      </c>
      <c r="W81" s="3" t="s">
        <v>155</v>
      </c>
    </row>
    <row r="82" spans="1:24" x14ac:dyDescent="0.3">
      <c r="A82" s="3" t="s">
        <v>156</v>
      </c>
      <c r="B82" s="3" t="s">
        <v>36</v>
      </c>
      <c r="C82" s="3">
        <v>94</v>
      </c>
      <c r="D82" s="3" t="s">
        <v>37</v>
      </c>
      <c r="E82" s="3" t="s">
        <v>36</v>
      </c>
      <c r="F82" s="3">
        <v>457</v>
      </c>
      <c r="G82" s="4">
        <v>1.7E-14</v>
      </c>
      <c r="H82" s="3">
        <v>53.7</v>
      </c>
      <c r="I82" s="3">
        <v>0</v>
      </c>
      <c r="J82" s="3">
        <v>1</v>
      </c>
      <c r="K82" s="3">
        <v>1</v>
      </c>
      <c r="L82" s="4">
        <v>4.9999999999999999E-17</v>
      </c>
      <c r="M82" s="4">
        <v>1.9000000000000001E-14</v>
      </c>
      <c r="N82" s="3">
        <v>53.6</v>
      </c>
      <c r="O82" s="3">
        <v>0</v>
      </c>
      <c r="P82" s="3">
        <v>370</v>
      </c>
      <c r="Q82" s="3">
        <v>442</v>
      </c>
      <c r="R82" s="3">
        <v>2</v>
      </c>
      <c r="S82" s="3">
        <v>78</v>
      </c>
      <c r="T82" s="3">
        <v>1</v>
      </c>
      <c r="U82" s="3">
        <v>92</v>
      </c>
      <c r="V82" s="3">
        <v>0.76</v>
      </c>
      <c r="W82" s="3" t="s">
        <v>58</v>
      </c>
    </row>
    <row r="83" spans="1:24" x14ac:dyDescent="0.3">
      <c r="A83" s="3" t="s">
        <v>157</v>
      </c>
      <c r="B83" s="3" t="s">
        <v>36</v>
      </c>
      <c r="C83" s="3">
        <v>486</v>
      </c>
      <c r="D83" s="3" t="s">
        <v>37</v>
      </c>
      <c r="E83" s="3" t="s">
        <v>36</v>
      </c>
      <c r="F83" s="3">
        <v>457</v>
      </c>
      <c r="G83" s="4">
        <v>5.4000000000000002E-13</v>
      </c>
      <c r="H83" s="3">
        <v>48.8</v>
      </c>
      <c r="I83" s="3">
        <v>26.9</v>
      </c>
      <c r="J83" s="3">
        <v>1</v>
      </c>
      <c r="K83" s="3">
        <v>2</v>
      </c>
      <c r="L83" s="4">
        <v>6.8999999999999999E-13</v>
      </c>
      <c r="M83" s="4">
        <v>2.5999999999999998E-10</v>
      </c>
      <c r="N83" s="3">
        <v>40</v>
      </c>
      <c r="O83" s="3">
        <v>12.7</v>
      </c>
      <c r="P83" s="3">
        <v>106</v>
      </c>
      <c r="Q83" s="3">
        <v>267</v>
      </c>
      <c r="R83" s="3">
        <v>179</v>
      </c>
      <c r="S83" s="3">
        <v>340</v>
      </c>
      <c r="T83" s="3">
        <v>174</v>
      </c>
      <c r="U83" s="3">
        <v>348</v>
      </c>
      <c r="V83" s="3">
        <v>0.8</v>
      </c>
      <c r="W83" s="3" t="s">
        <v>158</v>
      </c>
    </row>
    <row r="84" spans="1:24" x14ac:dyDescent="0.3">
      <c r="A84" s="3" t="s">
        <v>157</v>
      </c>
      <c r="B84" s="3" t="s">
        <v>36</v>
      </c>
      <c r="C84" s="3">
        <v>486</v>
      </c>
      <c r="D84" s="3" t="s">
        <v>37</v>
      </c>
      <c r="E84" s="3" t="s">
        <v>36</v>
      </c>
      <c r="F84" s="3">
        <v>457</v>
      </c>
      <c r="G84" s="4">
        <v>5.4000000000000002E-13</v>
      </c>
      <c r="H84" s="3">
        <v>48.8</v>
      </c>
      <c r="I84" s="3">
        <v>26.9</v>
      </c>
      <c r="J84" s="3">
        <v>2</v>
      </c>
      <c r="K84" s="3">
        <v>2</v>
      </c>
      <c r="L84" s="4">
        <v>3.0000000000000001E-5</v>
      </c>
      <c r="M84" s="3">
        <v>1.0999999999999999E-2</v>
      </c>
      <c r="N84" s="3">
        <v>14.8</v>
      </c>
      <c r="O84" s="3">
        <v>6.2</v>
      </c>
      <c r="P84" s="3">
        <v>284</v>
      </c>
      <c r="Q84" s="3">
        <v>386</v>
      </c>
      <c r="R84" s="3">
        <v>388</v>
      </c>
      <c r="S84" s="3">
        <v>486</v>
      </c>
      <c r="T84" s="3">
        <v>358</v>
      </c>
      <c r="U84" s="3">
        <v>486</v>
      </c>
      <c r="V84" s="3">
        <v>0.84</v>
      </c>
      <c r="W84" s="3" t="s">
        <v>158</v>
      </c>
    </row>
    <row r="85" spans="1:24" x14ac:dyDescent="0.3">
      <c r="A85" s="3" t="s">
        <v>159</v>
      </c>
      <c r="B85" s="3" t="s">
        <v>36</v>
      </c>
      <c r="C85" s="3">
        <v>170</v>
      </c>
      <c r="D85" s="3" t="s">
        <v>37</v>
      </c>
      <c r="E85" s="3" t="s">
        <v>36</v>
      </c>
      <c r="F85" s="3">
        <v>457</v>
      </c>
      <c r="G85" s="4">
        <v>8.3999999999999995E-13</v>
      </c>
      <c r="H85" s="3">
        <v>48.2</v>
      </c>
      <c r="I85" s="3">
        <v>6.9</v>
      </c>
      <c r="J85" s="3">
        <v>1</v>
      </c>
      <c r="K85" s="3">
        <v>1</v>
      </c>
      <c r="L85" s="4">
        <v>2.7000000000000001E-15</v>
      </c>
      <c r="M85" s="4">
        <v>9.9999999999999998E-13</v>
      </c>
      <c r="N85" s="3">
        <v>47.9</v>
      </c>
      <c r="O85" s="3">
        <v>6.9</v>
      </c>
      <c r="P85" s="3">
        <v>295</v>
      </c>
      <c r="Q85" s="3">
        <v>412</v>
      </c>
      <c r="R85" s="3">
        <v>54</v>
      </c>
      <c r="S85" s="3">
        <v>168</v>
      </c>
      <c r="T85" s="3">
        <v>48</v>
      </c>
      <c r="U85" s="3">
        <v>170</v>
      </c>
      <c r="V85" s="3">
        <v>0.91</v>
      </c>
      <c r="W85" s="3" t="s">
        <v>146</v>
      </c>
    </row>
    <row r="86" spans="1:24" x14ac:dyDescent="0.3">
      <c r="A86" s="3" t="s">
        <v>160</v>
      </c>
      <c r="B86" s="3" t="s">
        <v>36</v>
      </c>
      <c r="C86" s="3">
        <v>326</v>
      </c>
      <c r="D86" s="3" t="s">
        <v>37</v>
      </c>
      <c r="E86" s="3" t="s">
        <v>36</v>
      </c>
      <c r="F86" s="3">
        <v>457</v>
      </c>
      <c r="G86" s="4">
        <v>2.9000000000000002E-8</v>
      </c>
      <c r="H86" s="3">
        <v>33.299999999999997</v>
      </c>
      <c r="I86" s="3">
        <v>6.1</v>
      </c>
      <c r="J86" s="3">
        <v>1</v>
      </c>
      <c r="K86" s="3">
        <v>1</v>
      </c>
      <c r="L86" s="4">
        <v>1.0999999999999999E-10</v>
      </c>
      <c r="M86" s="4">
        <v>4.1000000000000003E-8</v>
      </c>
      <c r="N86" s="3">
        <v>32.700000000000003</v>
      </c>
      <c r="O86" s="3">
        <v>6.1</v>
      </c>
      <c r="P86" s="3">
        <v>211</v>
      </c>
      <c r="Q86" s="3">
        <v>431</v>
      </c>
      <c r="R86" s="3">
        <v>70</v>
      </c>
      <c r="S86" s="3">
        <v>314</v>
      </c>
      <c r="T86" s="3">
        <v>47</v>
      </c>
      <c r="U86" s="3">
        <v>322</v>
      </c>
      <c r="V86" s="3">
        <v>0.72</v>
      </c>
      <c r="W86" s="3" t="s">
        <v>161</v>
      </c>
    </row>
    <row r="87" spans="1:24" x14ac:dyDescent="0.3">
      <c r="A87" s="3" t="s">
        <v>162</v>
      </c>
      <c r="B87" s="3" t="s">
        <v>36</v>
      </c>
      <c r="C87" s="3">
        <v>83</v>
      </c>
      <c r="D87" s="3" t="s">
        <v>37</v>
      </c>
      <c r="E87" s="3" t="s">
        <v>36</v>
      </c>
      <c r="F87" s="3">
        <v>457</v>
      </c>
      <c r="G87" s="4">
        <v>1.9E-6</v>
      </c>
      <c r="H87" s="3">
        <v>27.2</v>
      </c>
      <c r="I87" s="3">
        <v>1.4</v>
      </c>
      <c r="J87" s="3">
        <v>1</v>
      </c>
      <c r="K87" s="3">
        <v>1</v>
      </c>
      <c r="L87" s="4">
        <v>5.2000000000000002E-9</v>
      </c>
      <c r="M87" s="4">
        <v>1.9E-6</v>
      </c>
      <c r="N87" s="3">
        <v>27.2</v>
      </c>
      <c r="O87" s="3">
        <v>1.4</v>
      </c>
      <c r="P87" s="3">
        <v>351</v>
      </c>
      <c r="Q87" s="3">
        <v>413</v>
      </c>
      <c r="R87" s="3">
        <v>24</v>
      </c>
      <c r="S87" s="3">
        <v>82</v>
      </c>
      <c r="T87" s="3">
        <v>3</v>
      </c>
      <c r="U87" s="3">
        <v>83</v>
      </c>
      <c r="V87" s="3">
        <v>0.88</v>
      </c>
      <c r="W87" s="3" t="s">
        <v>146</v>
      </c>
    </row>
    <row r="88" spans="1:24" x14ac:dyDescent="0.3">
      <c r="A88" s="3" t="s">
        <v>163</v>
      </c>
      <c r="B88" s="3" t="s">
        <v>36</v>
      </c>
      <c r="C88" s="3">
        <v>83</v>
      </c>
      <c r="D88" s="3" t="s">
        <v>37</v>
      </c>
      <c r="E88" s="3" t="s">
        <v>36</v>
      </c>
      <c r="F88" s="3">
        <v>457</v>
      </c>
      <c r="G88" s="4">
        <v>4.6999999999999999E-6</v>
      </c>
      <c r="H88" s="3">
        <v>26</v>
      </c>
      <c r="I88" s="3">
        <v>1.3</v>
      </c>
      <c r="J88" s="3">
        <v>1</v>
      </c>
      <c r="K88" s="3">
        <v>1</v>
      </c>
      <c r="L88" s="4">
        <v>1.2E-8</v>
      </c>
      <c r="M88" s="4">
        <v>4.6999999999999999E-6</v>
      </c>
      <c r="N88" s="3">
        <v>26</v>
      </c>
      <c r="O88" s="3">
        <v>1.3</v>
      </c>
      <c r="P88" s="3">
        <v>351</v>
      </c>
      <c r="Q88" s="3">
        <v>412</v>
      </c>
      <c r="R88" s="3">
        <v>24</v>
      </c>
      <c r="S88" s="3">
        <v>81</v>
      </c>
      <c r="T88" s="3">
        <v>3</v>
      </c>
      <c r="U88" s="3">
        <v>83</v>
      </c>
      <c r="V88" s="3">
        <v>0.88</v>
      </c>
      <c r="W88" s="3" t="s">
        <v>146</v>
      </c>
    </row>
    <row r="89" spans="1:24" x14ac:dyDescent="0.3">
      <c r="A89" s="3" t="s">
        <v>164</v>
      </c>
      <c r="B89" s="3" t="s">
        <v>36</v>
      </c>
      <c r="C89" s="3">
        <v>743</v>
      </c>
      <c r="D89" s="3" t="s">
        <v>37</v>
      </c>
      <c r="E89" s="3" t="s">
        <v>36</v>
      </c>
      <c r="F89" s="3">
        <v>457</v>
      </c>
      <c r="G89" s="3">
        <v>5.5999999999999995E-4</v>
      </c>
      <c r="H89" s="3">
        <v>19.100000000000001</v>
      </c>
      <c r="I89" s="3">
        <v>0.1</v>
      </c>
      <c r="J89" s="3">
        <v>1</v>
      </c>
      <c r="K89" s="3">
        <v>1</v>
      </c>
      <c r="L89" s="4">
        <v>2.2000000000000001E-6</v>
      </c>
      <c r="M89" s="3">
        <v>8.1999999999999998E-4</v>
      </c>
      <c r="N89" s="3">
        <v>18.600000000000001</v>
      </c>
      <c r="O89" s="3">
        <v>0.1</v>
      </c>
      <c r="P89" s="3">
        <v>133</v>
      </c>
      <c r="Q89" s="3">
        <v>198</v>
      </c>
      <c r="R89" s="3">
        <v>666</v>
      </c>
      <c r="S89" s="3">
        <v>731</v>
      </c>
      <c r="T89" s="3">
        <v>627</v>
      </c>
      <c r="U89" s="3">
        <v>742</v>
      </c>
      <c r="V89" s="3">
        <v>0.8</v>
      </c>
      <c r="W89" s="3" t="s">
        <v>165</v>
      </c>
    </row>
    <row r="90" spans="1:24" x14ac:dyDescent="0.3">
      <c r="A90" s="3" t="s">
        <v>166</v>
      </c>
      <c r="B90" s="3" t="s">
        <v>36</v>
      </c>
      <c r="C90" s="3">
        <v>299</v>
      </c>
      <c r="D90" s="3" t="s">
        <v>37</v>
      </c>
      <c r="E90" s="3" t="s">
        <v>36</v>
      </c>
      <c r="F90" s="3">
        <v>457</v>
      </c>
      <c r="G90" s="3">
        <v>5.5999999999999995E-4</v>
      </c>
      <c r="H90" s="3">
        <v>19.100000000000001</v>
      </c>
      <c r="I90" s="3">
        <v>16.7</v>
      </c>
      <c r="J90" s="3">
        <v>1</v>
      </c>
      <c r="K90" s="3">
        <v>1</v>
      </c>
      <c r="L90" s="4">
        <v>1.9E-6</v>
      </c>
      <c r="M90" s="3">
        <v>6.9999999999999999E-4</v>
      </c>
      <c r="N90" s="3">
        <v>18.8</v>
      </c>
      <c r="O90" s="3">
        <v>16.7</v>
      </c>
      <c r="P90" s="3">
        <v>186</v>
      </c>
      <c r="Q90" s="3">
        <v>326</v>
      </c>
      <c r="R90" s="3">
        <v>8</v>
      </c>
      <c r="S90" s="3">
        <v>154</v>
      </c>
      <c r="T90" s="3">
        <v>1</v>
      </c>
      <c r="U90" s="3">
        <v>180</v>
      </c>
      <c r="V90" s="3">
        <v>0.79</v>
      </c>
      <c r="W90" s="3" t="s">
        <v>167</v>
      </c>
    </row>
    <row r="91" spans="1:24" x14ac:dyDescent="0.3">
      <c r="A91" s="3" t="s">
        <v>168</v>
      </c>
      <c r="B91" s="3" t="s">
        <v>36</v>
      </c>
      <c r="C91" s="3">
        <v>427</v>
      </c>
      <c r="D91" s="3" t="s">
        <v>37</v>
      </c>
      <c r="E91" s="3" t="s">
        <v>36</v>
      </c>
      <c r="F91" s="3">
        <v>457</v>
      </c>
      <c r="G91" s="3">
        <v>1.6999999999999999E-3</v>
      </c>
      <c r="H91" s="3">
        <v>17.5</v>
      </c>
      <c r="I91" s="3">
        <v>0.1</v>
      </c>
      <c r="J91" s="3">
        <v>1</v>
      </c>
      <c r="K91" s="3">
        <v>1</v>
      </c>
      <c r="L91" s="4">
        <v>6.3999999999999997E-6</v>
      </c>
      <c r="M91" s="3">
        <v>2.3999999999999998E-3</v>
      </c>
      <c r="N91" s="3">
        <v>17</v>
      </c>
      <c r="O91" s="3">
        <v>0.1</v>
      </c>
      <c r="P91" s="3">
        <v>70</v>
      </c>
      <c r="Q91" s="3">
        <v>139</v>
      </c>
      <c r="R91" s="3">
        <v>348</v>
      </c>
      <c r="S91" s="3">
        <v>404</v>
      </c>
      <c r="T91" s="3">
        <v>302</v>
      </c>
      <c r="U91" s="3">
        <v>423</v>
      </c>
      <c r="V91" s="3">
        <v>0.77</v>
      </c>
      <c r="W91" s="3" t="s">
        <v>169</v>
      </c>
    </row>
    <row r="92" spans="1:24" x14ac:dyDescent="0.3">
      <c r="A92" s="3" t="s">
        <v>170</v>
      </c>
      <c r="B92" s="3" t="s">
        <v>36</v>
      </c>
      <c r="C92" s="3">
        <v>6227</v>
      </c>
      <c r="D92" s="3" t="s">
        <v>37</v>
      </c>
      <c r="E92" s="3" t="s">
        <v>36</v>
      </c>
      <c r="F92" s="3">
        <v>457</v>
      </c>
      <c r="G92" s="3">
        <v>3.5999999999999999E-3</v>
      </c>
      <c r="H92" s="3">
        <v>16.399999999999999</v>
      </c>
      <c r="I92" s="3">
        <v>22.8</v>
      </c>
      <c r="J92" s="3">
        <v>1</v>
      </c>
      <c r="K92" s="3">
        <v>1</v>
      </c>
      <c r="L92" s="4">
        <v>1.5E-5</v>
      </c>
      <c r="M92" s="3">
        <v>5.5999999999999999E-3</v>
      </c>
      <c r="N92" s="3">
        <v>15.8</v>
      </c>
      <c r="O92" s="3">
        <v>22.8</v>
      </c>
      <c r="P92" s="3">
        <v>114</v>
      </c>
      <c r="Q92" s="3">
        <v>399</v>
      </c>
      <c r="R92" s="3">
        <v>5798</v>
      </c>
      <c r="S92" s="3">
        <v>6079</v>
      </c>
      <c r="T92" s="3">
        <v>5781</v>
      </c>
      <c r="U92" s="3">
        <v>6098</v>
      </c>
      <c r="V92" s="3">
        <v>0.7</v>
      </c>
      <c r="W92" s="3" t="s">
        <v>171</v>
      </c>
      <c r="X92" t="s">
        <v>51</v>
      </c>
    </row>
    <row r="93" spans="1:24" x14ac:dyDescent="0.3">
      <c r="A93" s="3" t="s">
        <v>172</v>
      </c>
      <c r="B93" s="3" t="s">
        <v>36</v>
      </c>
      <c r="C93" s="3">
        <v>319</v>
      </c>
      <c r="D93" s="3" t="s">
        <v>37</v>
      </c>
      <c r="E93" s="3" t="s">
        <v>36</v>
      </c>
      <c r="F93" s="3">
        <v>457</v>
      </c>
      <c r="G93" s="3">
        <v>2.1000000000000001E-2</v>
      </c>
      <c r="H93" s="3">
        <v>13.9</v>
      </c>
      <c r="I93" s="3">
        <v>0.4</v>
      </c>
      <c r="J93" s="3">
        <v>1</v>
      </c>
      <c r="K93" s="3">
        <v>1</v>
      </c>
      <c r="L93" s="4">
        <v>8.7000000000000001E-5</v>
      </c>
      <c r="M93" s="3">
        <v>3.3000000000000002E-2</v>
      </c>
      <c r="N93" s="3">
        <v>13.3</v>
      </c>
      <c r="O93" s="3">
        <v>0.4</v>
      </c>
      <c r="P93" s="3">
        <v>319</v>
      </c>
      <c r="Q93" s="3">
        <v>408</v>
      </c>
      <c r="R93" s="3">
        <v>204</v>
      </c>
      <c r="S93" s="3">
        <v>304</v>
      </c>
      <c r="T93" s="3">
        <v>191</v>
      </c>
      <c r="U93" s="3">
        <v>318</v>
      </c>
      <c r="V93" s="3">
        <v>0.73</v>
      </c>
      <c r="W93" s="3" t="s">
        <v>173</v>
      </c>
    </row>
    <row r="94" spans="1:24" x14ac:dyDescent="0.3">
      <c r="A94" s="3" t="s">
        <v>174</v>
      </c>
      <c r="B94" s="3" t="s">
        <v>36</v>
      </c>
      <c r="C94" s="3">
        <v>412</v>
      </c>
      <c r="D94" s="3" t="s">
        <v>37</v>
      </c>
      <c r="E94" s="3" t="s">
        <v>36</v>
      </c>
      <c r="F94" s="3">
        <v>457</v>
      </c>
      <c r="G94" s="3">
        <v>2.8000000000000001E-2</v>
      </c>
      <c r="H94" s="3">
        <v>13.5</v>
      </c>
      <c r="I94" s="3">
        <v>10.5</v>
      </c>
      <c r="J94" s="3">
        <v>1</v>
      </c>
      <c r="K94" s="3">
        <v>1</v>
      </c>
      <c r="L94" s="3">
        <v>1.1E-4</v>
      </c>
      <c r="M94" s="3">
        <v>4.1000000000000002E-2</v>
      </c>
      <c r="N94" s="3">
        <v>13</v>
      </c>
      <c r="O94" s="3">
        <v>10.5</v>
      </c>
      <c r="P94" s="3">
        <v>215</v>
      </c>
      <c r="Q94" s="3">
        <v>342</v>
      </c>
      <c r="R94" s="3">
        <v>116</v>
      </c>
      <c r="S94" s="3">
        <v>242</v>
      </c>
      <c r="T94" s="3">
        <v>85</v>
      </c>
      <c r="U94" s="3">
        <v>277</v>
      </c>
      <c r="V94" s="3">
        <v>0.86</v>
      </c>
      <c r="W94" s="3" t="s">
        <v>175</v>
      </c>
    </row>
    <row r="95" spans="1:24" x14ac:dyDescent="0.3">
      <c r="A95" s="3" t="s">
        <v>176</v>
      </c>
      <c r="B95" s="3" t="s">
        <v>36</v>
      </c>
      <c r="C95" s="3">
        <v>746</v>
      </c>
      <c r="D95" s="3" t="s">
        <v>37</v>
      </c>
      <c r="E95" s="3" t="s">
        <v>36</v>
      </c>
      <c r="F95" s="3">
        <v>457</v>
      </c>
      <c r="G95" s="3">
        <v>3.5999999999999997E-2</v>
      </c>
      <c r="H95" s="3">
        <v>13.2</v>
      </c>
      <c r="I95" s="3">
        <v>0</v>
      </c>
      <c r="J95" s="3">
        <v>1</v>
      </c>
      <c r="K95" s="3">
        <v>1</v>
      </c>
      <c r="L95" s="3">
        <v>1.3999999999999999E-4</v>
      </c>
      <c r="M95" s="3">
        <v>5.2999999999999999E-2</v>
      </c>
      <c r="N95" s="3">
        <v>12.6</v>
      </c>
      <c r="O95" s="3">
        <v>0</v>
      </c>
      <c r="P95" s="3">
        <v>368</v>
      </c>
      <c r="Q95" s="3">
        <v>415</v>
      </c>
      <c r="R95" s="3">
        <v>641</v>
      </c>
      <c r="S95" s="3">
        <v>688</v>
      </c>
      <c r="T95" s="3">
        <v>625</v>
      </c>
      <c r="U95" s="3">
        <v>701</v>
      </c>
      <c r="V95" s="3">
        <v>0.77</v>
      </c>
      <c r="W95" s="3" t="s">
        <v>177</v>
      </c>
    </row>
    <row r="96" spans="1:24" x14ac:dyDescent="0.3">
      <c r="A96" s="3" t="s">
        <v>178</v>
      </c>
      <c r="B96" s="3" t="s">
        <v>36</v>
      </c>
      <c r="C96" s="3">
        <v>454</v>
      </c>
      <c r="D96" s="3" t="s">
        <v>37</v>
      </c>
      <c r="E96" s="3" t="s">
        <v>36</v>
      </c>
      <c r="F96" s="3">
        <v>457</v>
      </c>
      <c r="G96" s="3">
        <v>4.1000000000000002E-2</v>
      </c>
      <c r="H96" s="3">
        <v>13</v>
      </c>
      <c r="I96" s="3">
        <v>6.2</v>
      </c>
      <c r="J96" s="3">
        <v>1</v>
      </c>
      <c r="K96" s="3">
        <v>2</v>
      </c>
      <c r="L96" s="3">
        <v>0.16</v>
      </c>
      <c r="M96" s="3">
        <v>59</v>
      </c>
      <c r="N96" s="3">
        <v>2.6</v>
      </c>
      <c r="O96" s="3">
        <v>2.8</v>
      </c>
      <c r="P96" s="3">
        <v>307</v>
      </c>
      <c r="Q96" s="3">
        <v>383</v>
      </c>
      <c r="R96" s="3">
        <v>34</v>
      </c>
      <c r="S96" s="3">
        <v>110</v>
      </c>
      <c r="T96" s="3">
        <v>16</v>
      </c>
      <c r="U96" s="3">
        <v>117</v>
      </c>
      <c r="V96" s="3">
        <v>0.72</v>
      </c>
      <c r="W96" s="3" t="s">
        <v>179</v>
      </c>
    </row>
    <row r="97" spans="1:24" x14ac:dyDescent="0.3">
      <c r="A97" s="3" t="s">
        <v>178</v>
      </c>
      <c r="B97" s="3" t="s">
        <v>36</v>
      </c>
      <c r="C97" s="3">
        <v>454</v>
      </c>
      <c r="D97" s="3" t="s">
        <v>37</v>
      </c>
      <c r="E97" s="3" t="s">
        <v>36</v>
      </c>
      <c r="F97" s="3">
        <v>457</v>
      </c>
      <c r="G97" s="3">
        <v>4.1000000000000002E-2</v>
      </c>
      <c r="H97" s="3">
        <v>13</v>
      </c>
      <c r="I97" s="3">
        <v>6.2</v>
      </c>
      <c r="J97" s="3">
        <v>2</v>
      </c>
      <c r="K97" s="3">
        <v>2</v>
      </c>
      <c r="L97" s="3">
        <v>2.9999999999999997E-4</v>
      </c>
      <c r="M97" s="3">
        <v>0.11</v>
      </c>
      <c r="N97" s="3">
        <v>11.5</v>
      </c>
      <c r="O97" s="3">
        <v>0.1</v>
      </c>
      <c r="P97" s="3">
        <v>356</v>
      </c>
      <c r="Q97" s="3">
        <v>434</v>
      </c>
      <c r="R97" s="3">
        <v>306</v>
      </c>
      <c r="S97" s="3">
        <v>386</v>
      </c>
      <c r="T97" s="3">
        <v>268</v>
      </c>
      <c r="U97" s="3">
        <v>428</v>
      </c>
      <c r="V97" s="3">
        <v>0.73</v>
      </c>
      <c r="W97" s="3" t="s">
        <v>179</v>
      </c>
    </row>
    <row r="98" spans="1:24" x14ac:dyDescent="0.3">
      <c r="A98" s="3" t="s">
        <v>180</v>
      </c>
      <c r="B98" s="3" t="s">
        <v>36</v>
      </c>
      <c r="C98" s="3">
        <v>449</v>
      </c>
      <c r="D98" s="3" t="s">
        <v>37</v>
      </c>
      <c r="E98" s="3" t="s">
        <v>36</v>
      </c>
      <c r="F98" s="3">
        <v>457</v>
      </c>
      <c r="G98" s="3">
        <v>4.8000000000000001E-2</v>
      </c>
      <c r="H98" s="3">
        <v>12.7</v>
      </c>
      <c r="I98" s="3">
        <v>6.5</v>
      </c>
      <c r="J98" s="3">
        <v>1</v>
      </c>
      <c r="K98" s="3">
        <v>2</v>
      </c>
      <c r="L98" s="3">
        <v>0.15</v>
      </c>
      <c r="M98" s="3">
        <v>58</v>
      </c>
      <c r="N98" s="3">
        <v>2.6</v>
      </c>
      <c r="O98" s="3">
        <v>2.8</v>
      </c>
      <c r="P98" s="3">
        <v>307</v>
      </c>
      <c r="Q98" s="3">
        <v>383</v>
      </c>
      <c r="R98" s="3">
        <v>34</v>
      </c>
      <c r="S98" s="3">
        <v>110</v>
      </c>
      <c r="T98" s="3">
        <v>16</v>
      </c>
      <c r="U98" s="3">
        <v>117</v>
      </c>
      <c r="V98" s="3">
        <v>0.72</v>
      </c>
      <c r="W98" s="3" t="s">
        <v>181</v>
      </c>
    </row>
    <row r="99" spans="1:24" x14ac:dyDescent="0.3">
      <c r="A99" s="3" t="s">
        <v>180</v>
      </c>
      <c r="B99" s="3" t="s">
        <v>36</v>
      </c>
      <c r="C99" s="3">
        <v>449</v>
      </c>
      <c r="D99" s="3" t="s">
        <v>37</v>
      </c>
      <c r="E99" s="3" t="s">
        <v>36</v>
      </c>
      <c r="F99" s="3">
        <v>457</v>
      </c>
      <c r="G99" s="3">
        <v>4.8000000000000001E-2</v>
      </c>
      <c r="H99" s="3">
        <v>12.7</v>
      </c>
      <c r="I99" s="3">
        <v>6.5</v>
      </c>
      <c r="J99" s="3">
        <v>2</v>
      </c>
      <c r="K99" s="3">
        <v>2</v>
      </c>
      <c r="L99" s="3">
        <v>2.9E-4</v>
      </c>
      <c r="M99" s="3">
        <v>0.11</v>
      </c>
      <c r="N99" s="3">
        <v>11.6</v>
      </c>
      <c r="O99" s="3">
        <v>0.1</v>
      </c>
      <c r="P99" s="3">
        <v>356</v>
      </c>
      <c r="Q99" s="3">
        <v>434</v>
      </c>
      <c r="R99" s="3">
        <v>306</v>
      </c>
      <c r="S99" s="3">
        <v>386</v>
      </c>
      <c r="T99" s="3">
        <v>268</v>
      </c>
      <c r="U99" s="3">
        <v>426</v>
      </c>
      <c r="V99" s="3">
        <v>0.73</v>
      </c>
      <c r="W99" s="3" t="s">
        <v>181</v>
      </c>
    </row>
    <row r="100" spans="1:24" x14ac:dyDescent="0.3">
      <c r="A100" s="3" t="s">
        <v>182</v>
      </c>
      <c r="B100" s="3" t="s">
        <v>36</v>
      </c>
      <c r="C100" s="3">
        <v>267</v>
      </c>
      <c r="D100" s="3" t="s">
        <v>37</v>
      </c>
      <c r="E100" s="3" t="s">
        <v>36</v>
      </c>
      <c r="F100" s="3">
        <v>457</v>
      </c>
      <c r="G100" s="3">
        <v>7.3999999999999996E-2</v>
      </c>
      <c r="H100" s="3">
        <v>12.1</v>
      </c>
      <c r="I100" s="3">
        <v>0</v>
      </c>
      <c r="J100" s="3">
        <v>1</v>
      </c>
      <c r="K100" s="3">
        <v>1</v>
      </c>
      <c r="L100" s="3">
        <v>2.9E-4</v>
      </c>
      <c r="M100" s="3">
        <v>0.11</v>
      </c>
      <c r="N100" s="3">
        <v>11.6</v>
      </c>
      <c r="O100" s="3">
        <v>0</v>
      </c>
      <c r="P100" s="3">
        <v>161</v>
      </c>
      <c r="Q100" s="3">
        <v>204</v>
      </c>
      <c r="R100" s="3">
        <v>13</v>
      </c>
      <c r="S100" s="3">
        <v>61</v>
      </c>
      <c r="T100" s="3">
        <v>9</v>
      </c>
      <c r="U100" s="3">
        <v>90</v>
      </c>
      <c r="V100" s="3">
        <v>0.82</v>
      </c>
      <c r="W100" s="3" t="s">
        <v>183</v>
      </c>
    </row>
    <row r="101" spans="1:24" x14ac:dyDescent="0.3">
      <c r="A101" s="3" t="s">
        <v>184</v>
      </c>
      <c r="B101" s="3" t="s">
        <v>36</v>
      </c>
      <c r="C101" s="3">
        <v>433</v>
      </c>
      <c r="D101" s="3" t="s">
        <v>37</v>
      </c>
      <c r="E101" s="3" t="s">
        <v>36</v>
      </c>
      <c r="F101" s="3">
        <v>457</v>
      </c>
      <c r="G101" s="3">
        <v>0.14000000000000001</v>
      </c>
      <c r="H101" s="3">
        <v>11.2</v>
      </c>
      <c r="I101" s="3">
        <v>8</v>
      </c>
      <c r="J101" s="3">
        <v>1</v>
      </c>
      <c r="K101" s="3">
        <v>2</v>
      </c>
      <c r="L101" s="3">
        <v>0.15</v>
      </c>
      <c r="M101" s="3">
        <v>55</v>
      </c>
      <c r="N101" s="3">
        <v>2.7</v>
      </c>
      <c r="O101" s="3">
        <v>2.8</v>
      </c>
      <c r="P101" s="3">
        <v>307</v>
      </c>
      <c r="Q101" s="3">
        <v>383</v>
      </c>
      <c r="R101" s="3">
        <v>34</v>
      </c>
      <c r="S101" s="3">
        <v>110</v>
      </c>
      <c r="T101" s="3">
        <v>16</v>
      </c>
      <c r="U101" s="3">
        <v>117</v>
      </c>
      <c r="V101" s="3">
        <v>0.72</v>
      </c>
      <c r="W101" s="3" t="s">
        <v>185</v>
      </c>
    </row>
    <row r="102" spans="1:24" x14ac:dyDescent="0.3">
      <c r="A102" s="3" t="s">
        <v>184</v>
      </c>
      <c r="B102" s="3" t="s">
        <v>36</v>
      </c>
      <c r="C102" s="3">
        <v>433</v>
      </c>
      <c r="D102" s="3" t="s">
        <v>37</v>
      </c>
      <c r="E102" s="3" t="s">
        <v>36</v>
      </c>
      <c r="F102" s="3">
        <v>457</v>
      </c>
      <c r="G102" s="3">
        <v>0.14000000000000001</v>
      </c>
      <c r="H102" s="3">
        <v>11.2</v>
      </c>
      <c r="I102" s="3">
        <v>8</v>
      </c>
      <c r="J102" s="3">
        <v>2</v>
      </c>
      <c r="K102" s="3">
        <v>2</v>
      </c>
      <c r="L102" s="3">
        <v>3.4000000000000002E-4</v>
      </c>
      <c r="M102" s="3">
        <v>0.13</v>
      </c>
      <c r="N102" s="3">
        <v>11.3</v>
      </c>
      <c r="O102" s="3">
        <v>0.2</v>
      </c>
      <c r="P102" s="3">
        <v>356</v>
      </c>
      <c r="Q102" s="3">
        <v>432</v>
      </c>
      <c r="R102" s="3">
        <v>306</v>
      </c>
      <c r="S102" s="3">
        <v>384</v>
      </c>
      <c r="T102" s="3">
        <v>268</v>
      </c>
      <c r="U102" s="3">
        <v>410</v>
      </c>
      <c r="V102" s="3">
        <v>0.71</v>
      </c>
      <c r="W102" s="3" t="s">
        <v>185</v>
      </c>
    </row>
    <row r="103" spans="1:24" x14ac:dyDescent="0.3">
      <c r="A103" s="3" t="s">
        <v>186</v>
      </c>
      <c r="B103" s="3" t="s">
        <v>36</v>
      </c>
      <c r="C103" s="3">
        <v>173</v>
      </c>
      <c r="D103" s="3" t="s">
        <v>37</v>
      </c>
      <c r="E103" s="3" t="s">
        <v>36</v>
      </c>
      <c r="F103" s="3">
        <v>457</v>
      </c>
      <c r="G103" s="3">
        <v>0.53</v>
      </c>
      <c r="H103" s="3">
        <v>9.3000000000000007</v>
      </c>
      <c r="I103" s="3">
        <v>5.5</v>
      </c>
      <c r="J103" s="3">
        <v>1</v>
      </c>
      <c r="K103" s="3">
        <v>1</v>
      </c>
      <c r="L103" s="3">
        <v>7.3999999999999999E-4</v>
      </c>
      <c r="M103" s="3">
        <v>0.28000000000000003</v>
      </c>
      <c r="N103" s="3">
        <v>10.199999999999999</v>
      </c>
      <c r="O103" s="3">
        <v>3.2</v>
      </c>
      <c r="P103" s="3">
        <v>122</v>
      </c>
      <c r="Q103" s="3">
        <v>201</v>
      </c>
      <c r="R103" s="3">
        <v>51</v>
      </c>
      <c r="S103" s="3">
        <v>131</v>
      </c>
      <c r="T103" s="3">
        <v>33</v>
      </c>
      <c r="U103" s="3">
        <v>143</v>
      </c>
      <c r="V103" s="3">
        <v>0.74</v>
      </c>
      <c r="W103" s="3" t="s">
        <v>187</v>
      </c>
    </row>
    <row r="104" spans="1:24" x14ac:dyDescent="0.3">
      <c r="A104" s="3" t="s">
        <v>188</v>
      </c>
      <c r="B104" s="3" t="s">
        <v>36</v>
      </c>
      <c r="C104" s="3">
        <v>829</v>
      </c>
      <c r="D104" s="3" t="s">
        <v>37</v>
      </c>
      <c r="E104" s="3" t="s">
        <v>36</v>
      </c>
      <c r="F104" s="3">
        <v>457</v>
      </c>
      <c r="G104" s="3">
        <v>0.7</v>
      </c>
      <c r="H104" s="3">
        <v>8.9</v>
      </c>
      <c r="I104" s="3">
        <v>7.9</v>
      </c>
      <c r="J104" s="3">
        <v>1</v>
      </c>
      <c r="K104" s="3">
        <v>1</v>
      </c>
      <c r="L104" s="3">
        <v>2.8E-3</v>
      </c>
      <c r="M104" s="3">
        <v>1.1000000000000001</v>
      </c>
      <c r="N104" s="3">
        <v>8.3000000000000007</v>
      </c>
      <c r="O104" s="3">
        <v>7.9</v>
      </c>
      <c r="P104" s="3">
        <v>204</v>
      </c>
      <c r="Q104" s="3">
        <v>361</v>
      </c>
      <c r="R104" s="3">
        <v>276</v>
      </c>
      <c r="S104" s="3">
        <v>440</v>
      </c>
      <c r="T104" s="3">
        <v>182</v>
      </c>
      <c r="U104" s="3">
        <v>447</v>
      </c>
      <c r="V104" s="3">
        <v>0.8</v>
      </c>
      <c r="W104" s="3" t="s">
        <v>189</v>
      </c>
    </row>
    <row r="105" spans="1:24" x14ac:dyDescent="0.3">
      <c r="A105" t="s">
        <v>0</v>
      </c>
    </row>
    <row r="106" spans="1:24" x14ac:dyDescent="0.3">
      <c r="A106" t="s">
        <v>190</v>
      </c>
      <c r="B106" t="s">
        <v>191</v>
      </c>
    </row>
    <row r="107" spans="1:24" x14ac:dyDescent="0.3">
      <c r="A107" t="s">
        <v>192</v>
      </c>
      <c r="B107" t="s">
        <v>193</v>
      </c>
      <c r="C107" t="s">
        <v>194</v>
      </c>
    </row>
    <row r="108" spans="1:24" x14ac:dyDescent="0.3">
      <c r="A108" t="s">
        <v>195</v>
      </c>
      <c r="B108" t="s">
        <v>196</v>
      </c>
    </row>
    <row r="109" spans="1:24" x14ac:dyDescent="0.3">
      <c r="A109" t="s">
        <v>197</v>
      </c>
      <c r="B109" t="s">
        <v>198</v>
      </c>
      <c r="C109" t="s">
        <v>199</v>
      </c>
      <c r="D109" t="s">
        <v>200</v>
      </c>
      <c r="E109" t="s">
        <v>201</v>
      </c>
      <c r="F109" t="s">
        <v>202</v>
      </c>
      <c r="G109" t="s">
        <v>203</v>
      </c>
      <c r="H109" t="s">
        <v>204</v>
      </c>
      <c r="I109" t="s">
        <v>205</v>
      </c>
      <c r="J109" t="s">
        <v>206</v>
      </c>
    </row>
    <row r="110" spans="1:24" x14ac:dyDescent="0.3">
      <c r="A110" t="s">
        <v>207</v>
      </c>
      <c r="B110" t="s">
        <v>198</v>
      </c>
      <c r="C110" t="s">
        <v>199</v>
      </c>
      <c r="D110" t="s">
        <v>208</v>
      </c>
      <c r="E110" t="s">
        <v>209</v>
      </c>
      <c r="F110" t="s">
        <v>210</v>
      </c>
      <c r="G110" t="s">
        <v>211</v>
      </c>
      <c r="H110" t="s">
        <v>212</v>
      </c>
      <c r="I110" t="s">
        <v>213</v>
      </c>
      <c r="J110" t="s">
        <v>206</v>
      </c>
    </row>
    <row r="111" spans="1:24" x14ac:dyDescent="0.3">
      <c r="A111" t="s">
        <v>214</v>
      </c>
      <c r="B111" t="s">
        <v>215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K111" t="s">
        <v>224</v>
      </c>
      <c r="L111" t="s">
        <v>225</v>
      </c>
      <c r="M111" t="s">
        <v>226</v>
      </c>
      <c r="N111" t="s">
        <v>227</v>
      </c>
      <c r="O111" t="s">
        <v>228</v>
      </c>
      <c r="P111" t="e" cm="1">
        <f t="array" ref="P111">--dom</f>
        <v>#NAME?</v>
      </c>
      <c r="Q111" t="s">
        <v>228</v>
      </c>
      <c r="R111">
        <f>--F1</f>
        <v>0</v>
      </c>
      <c r="S111">
        <v>-0.02</v>
      </c>
      <c r="T111" t="s">
        <v>229</v>
      </c>
      <c r="U111" t="s">
        <v>230</v>
      </c>
      <c r="V111" t="s">
        <v>231</v>
      </c>
      <c r="W111" t="s">
        <v>232</v>
      </c>
      <c r="X111" t="s">
        <v>233</v>
      </c>
    </row>
    <row r="112" spans="1:24" x14ac:dyDescent="0.3">
      <c r="A112" t="s">
        <v>234</v>
      </c>
      <c r="B112" t="s">
        <v>235</v>
      </c>
      <c r="C112" t="s">
        <v>236</v>
      </c>
      <c r="D112" t="s">
        <v>237</v>
      </c>
      <c r="E112" t="s">
        <v>238</v>
      </c>
    </row>
    <row r="113" spans="1:4" x14ac:dyDescent="0.3">
      <c r="A113" t="s">
        <v>239</v>
      </c>
      <c r="B113" t="s">
        <v>240</v>
      </c>
      <c r="C113" s="2">
        <v>5.6250000000000001E-2</v>
      </c>
      <c r="D113" t="s">
        <v>241</v>
      </c>
    </row>
    <row r="114" spans="1:4" x14ac:dyDescent="0.3">
      <c r="A11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F30C-8DEB-4A96-8235-3DC0DE84376F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268-1C18-43AE-AAF7-8AA5A45FB61C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B951-0501-405F-B261-6E4EA57B0ED1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E70C-EDAA-4CEA-8C0C-E8568A6C596B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6CD8-B9AE-45F0-B307-AEF3AF3EFFD2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037D-0E86-413E-B105-17A46AD589E2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6561-9BB8-4D0E-87E2-8F4D1F97984A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C820-CB79-4D39-B6EF-8BE0C0FA8668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181D-4076-4E27-B3D5-1D394BD84528}">
  <dimension ref="A1:W3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2DA1-9EFD-47C8-9F6E-3F16FC1FF146}">
  <dimension ref="A1:W3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E8C4-BFE8-4124-A234-01C812F12830}">
  <dimension ref="A1:W2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93E0-3016-471A-872A-BA3954FFEB6E}">
  <dimension ref="A1:W2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2619-68C8-4A1E-98C4-BC2E5842D97B}">
  <dimension ref="A1:W2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5979-1BB1-466C-B523-C0AA0B6C4ABA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BB54-1365-4757-95BB-2D59548D0169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5E96-2A4A-4DE1-BC6D-87CFEA20F4D8}">
  <dimension ref="A1:W7"/>
  <sheetViews>
    <sheetView workbookViewId="0">
      <selection sqref="A1:XFD1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G2" s="1"/>
      <c r="L2" s="1"/>
      <c r="M2" s="1"/>
    </row>
    <row r="3" spans="1:23" x14ac:dyDescent="0.3">
      <c r="G3" s="1"/>
      <c r="L3" s="1"/>
      <c r="M3" s="1"/>
    </row>
    <row r="4" spans="1:23" x14ac:dyDescent="0.3">
      <c r="G4" s="1"/>
      <c r="L4" s="1"/>
      <c r="M4" s="1"/>
    </row>
    <row r="5" spans="1:23" x14ac:dyDescent="0.3">
      <c r="G5" s="1"/>
      <c r="L5" s="1"/>
      <c r="M5" s="1"/>
    </row>
    <row r="6" spans="1:23" x14ac:dyDescent="0.3">
      <c r="G6" s="1"/>
      <c r="L6" s="1"/>
      <c r="M6" s="1"/>
    </row>
    <row r="7" spans="1:23" x14ac:dyDescent="0.3">
      <c r="G7" s="1"/>
      <c r="L7" s="1"/>
      <c r="M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Start</vt:lpstr>
      <vt:lpstr>SCTR</vt:lpstr>
      <vt:lpstr>GCGR</vt:lpstr>
      <vt:lpstr>GIPR</vt:lpstr>
      <vt:lpstr>GLP1R</vt:lpstr>
      <vt:lpstr>GLP2R</vt:lpstr>
      <vt:lpstr>CALCR</vt:lpstr>
      <vt:lpstr>CALCRL</vt:lpstr>
      <vt:lpstr>GHRHR</vt:lpstr>
      <vt:lpstr>PTHR1R</vt:lpstr>
      <vt:lpstr>PTHR2R</vt:lpstr>
      <vt:lpstr>CRHR1</vt:lpstr>
      <vt:lpstr>CRHR2</vt:lpstr>
      <vt:lpstr>ADCYAP1R1</vt:lpstr>
      <vt:lpstr>VIPR1</vt:lpstr>
      <vt:lpstr>VIPR2</vt:lpstr>
      <vt:lpstr>VIPRL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Saque</dc:creator>
  <cp:lastModifiedBy>MOISÉS NOEL SAQUE PEREIRA ANTUNES</cp:lastModifiedBy>
  <dcterms:created xsi:type="dcterms:W3CDTF">2026-01-28T21:18:25Z</dcterms:created>
  <dcterms:modified xsi:type="dcterms:W3CDTF">2026-02-02T23:58:17Z</dcterms:modified>
</cp:coreProperties>
</file>